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1) Artists list" sheetId="2" r:id="rId5"/>
    <sheet state="visible" name="2) Labels list" sheetId="3" r:id="rId6"/>
    <sheet state="visible" name="3) Release_Label" sheetId="4" r:id="rId7"/>
    <sheet state="visible" name="4) Release_Artist(s)" sheetId="5" r:id="rId8"/>
    <sheet state="visible" name="5) Release_Track" sheetId="6" r:id="rId9"/>
    <sheet state="visible" name="6) Track_Artist(s)" sheetId="7" r:id="rId10"/>
    <sheet state="visible" name="7) Comp ContributorPublisher li" sheetId="8" r:id="rId11"/>
    <sheet state="visible" name="8) Track_Composition(s)" sheetId="9" r:id="rId12"/>
    <sheet state="visible" name="9) Audio_Properties" sheetId="10" r:id="rId13"/>
    <sheet state="visible" name="Sample Data" sheetId="11" r:id="rId14"/>
    <sheet state="visible" name="Reference info" sheetId="12" r:id="rId15"/>
  </sheets>
  <definedNames>
    <definedName name="EntId">'1) Artists list'!$I$1</definedName>
    <definedName name="CompContributor">'7) Comp ContributorPublisher li'!$A$5:$A$995</definedName>
    <definedName name="TrackProperties">'Reference info'!$R$3:$R$10</definedName>
    <definedName name="ReleaseType">'Reference info'!$G$3:$G$7</definedName>
    <definedName name="Language">'Reference info'!$K$3:$K$418</definedName>
    <definedName name="Publishing">'Reference info'!$O$3:$O$5</definedName>
    <definedName name="ArtistRole">'Reference info'!$J$3:$J$430</definedName>
    <definedName name="CompositionRole">'Reference info'!$Q$3:$Q$14</definedName>
    <definedName name="Label">'2) Labels list'!$A$5:$A$998</definedName>
    <definedName name="Genre">'Reference info'!$H$3:$H$419</definedName>
    <definedName name="Publisher">'7) Comp ContributorPublisher li'!$D$5:$D$995</definedName>
    <definedName name="Artist">'1) Artists list'!$A$5:$A$944</definedName>
    <definedName name="TenantId">'1) Artists list'!$I$2</definedName>
    <definedName hidden="1" localSheetId="4" name="_xlnm._FilterDatabase">'4) Release_Artist(s)'!$A$1:$F$520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This is a note example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URL link to the file on a public server (Dropbox, Azure, S3, etc.) that triggers a direct download of the file when the link is clicked.
IMPORTANT: 
We DO NOT support importing files from Google Drive
Sample download url formats -
[Note: the server's id used for the file is represented as 'ID_CHARS']
Dropbox:
https://www.dropbox.com/s/ID_CHARS/FileName?dl=1</t>
      </text>
    </comment>
    <comment authorId="0" ref="C4">
      <text>
        <t xml:space="preserve">Enter the Artist's AppleId or 'NEW' to indicate that the Artist needs an AppleId created for them.
Required for Distribution of content to APPLE where the Artist has one of the following roles: 'Primary - Top', 'Primary - Other', 'Featuring', 'Remixer'</t>
      </text>
    </comment>
    <comment authorId="0" ref="D4">
      <text>
        <t xml:space="preserve">Enter the Artist's full Spotify URI address (e.g., spotify:artist:acAr6E0nzuEeDIcg5XBqax) or 'NEW' to indicate that the Artist needs a Spotify URI created for them.
Required for Distribution of content to SPOTIFY where the Artist has one of the following roles: 'Primary - Top', 'Primary - Other', 'Featuring', 'Remixer'</t>
      </text>
    </comment>
    <comment authorId="0" ref="E4">
      <text>
        <t xml:space="preserve">NOT the Instagram URL of the Artist</t>
      </text>
    </comment>
    <comment authorId="0" ref="F4">
      <text>
        <t xml:space="preserve">The "username" part of the artist's SoundCloud URL; e.g., /soundcloud.com/username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EXACTLY means that EVERYTHING must be the same as your label copy and that any difference will result in creating different labels:
  Rolling Stones Records 
Is not identical to 
  ROLLING STONES REC. LTD.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Product Copyright Holder: the name of the person or entity that owns the exclusive rights to the complete product, including both sound recording and artwork, preceded by the year the rights were obtained. For example: 2008 Acme Inc.</t>
      </text>
    </comment>
    <comment authorId="0" ref="L3">
      <text>
        <t xml:space="preserve">Sound Recording Copyright Holder: the name of the person or entity that owns the exclusive rights to the sound recording, preceded by the year the rights were obtained. For example: 2008 Acme Inc.</t>
      </text>
    </comment>
    <comment authorId="0" ref="B4">
      <text>
        <t xml:space="preserve">URL link to the file on a public server (Dropbox, Azure, S3, etc.) that triggers a direct download of the file when the link is clicked.
Image file size must be less than 10 MB.
IMPORTANT: 
We DO NOT support importing files from Google Drive
Sample download url formats -
[Note: the server's id used for the file is represented as 'ID_CHARS']
Dropbox:
https://www.dropbox.com/s/ID_CHARS/FileName?dl=1</t>
      </text>
    </comment>
    <comment authorId="0" ref="C4">
      <text>
        <t xml:space="preserve">image files can only be in jpeg/jpg format</t>
      </text>
    </comment>
    <comment authorId="0" ref="D4">
      <text>
        <t xml:space="preserve">leave blank if no UPC / EAN / JAN yet</t>
      </text>
    </comment>
    <comment authorId="0" ref="E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EXACTLY means that you should respect proper casing and punctuation:
  Exile on Main St. (vs)
  Exile On Main St</t>
      </text>
    </comment>
    <comment authorId="0" ref="G4">
      <text>
        <t xml:space="preserve">The language of the release TITLE; NOT the language of the songs/lyrics.</t>
      </text>
    </comment>
    <comment authorId="0" ref="N4">
      <text>
        <t xml:space="preserve">Can be:
YYYY-MM-DD
YYYY/MM/DD
YYYY MM DD.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leave blank if no UPC / EAN / JAN yet</t>
      </text>
    </comment>
    <comment authorId="0" ref="B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Each Release MUST have ONLY ONE Artist assigned the 'Primary - Top' role.  Any other primary artist should be assigned 'Primary - Other'.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vISRCs MUST be distinct from regular track ISRCs</t>
      </text>
    </comment>
    <comment authorId="0" ref="A4">
      <text>
        <t xml:space="preserve">leave blank if no UPC / EAN / JAN yet</t>
      </text>
    </comment>
    <comment authorId="0" ref="B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No dashes or spaces.
CCXXXYY#####
CC = Country code (2 characters)
XXX = Registrant code (3 characters)
YY = Year of release (2 digits)
##### = Release identifier (5 digits)</t>
      </text>
    </comment>
    <comment authorId="0" ref="G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H4">
      <text>
        <t xml:space="preserve">EXACTLY means that you should respect proper casing and punctuation:
  Exile on Main St. (vs)
  Exile On Main St</t>
      </text>
    </comment>
    <comment authorId="0" ref="L4">
      <text>
        <t xml:space="preserve">An​ ​original​ ​composition​ ​is​ ​a​ ​track​ ​to​ ​which​ ​you’ve​ ​contributed lyrics​ ​and/or​ ​music,​ ​but​ ​which​ ​does​ ​NOT​ ​borrow​ ​elements from​ ​previously​ ​created​ ​works.
Public​ ​domain​ ​compositions​ ​are​ ​ones​ ​in​ ​which​ ​the intellectual​ ​property​ ​rights​ ​have​ ​expired​ ​or​ ​been​ ​forfeited. This​ ​generally​ ​applies​ ​to​ ​songs​ ​written​ ​before​ ​1923.</t>
      </text>
    </comment>
    <comment authorId="0" ref="M4">
      <text>
        <t xml:space="preserve">Required if distributing content.
FLAC or 2 channel (stereo) WAV file.
16-24 bit depth; minimum sample rate: 44.1 kHz
URL link to the file on a public server (Dropbox, Azure, S3, etc.) that triggers a direct download of the file when the link is clicked.
IMPORTANT: 
We DO NOT support importing files from Google Drive
Sample download url formats -
[Note: the server's id used for the file is represented as 'ID_CHARS']
Dropbox:
https://www.dropbox.com/s/ID_CHARS/FileName?dl=1</t>
      </text>
    </comment>
    <comment authorId="0" ref="N4">
      <text>
        <t xml:space="preserve">audio file extension
Required if audio URL provided</t>
      </text>
    </comment>
    <comment authorId="0" ref="O4">
      <text>
        <t xml:space="preserve">From where should your track start when people preview it? 
The value must be the number of seconds into the track. Example: 93.</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1. Each Track MUST have ONLY ONE Artist assigned the 'Main Primary Artist' role.  Any other primary artist should be assigned 'Primary Artist'.
2. Each Track MUST have AT LEAST ONE Artist assigned a role from the 'Producer &amp; Engineer' category.</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G4">
      <text>
        <t xml:space="preserve">Only positive values up to 100%, total of all Contributors for a track must equal 100%
Maximum decimal places: 
2 in Percent format, e.g. 33.34%; 
or 
4 in Number format, e.g. 0.3334;
If there are 3 Contributors:
33.33%
33.33%
33.34%</t>
      </text>
    </comment>
    <comment authorId="0" ref="H4">
      <text>
        <t xml:space="preserve">Total of all Contributors for a track must equal 100%</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E4">
      <text>
        <t xml:space="preserve">A new version that alters an original recording. Any derivative work, including modified versions such as sped-up, slowed-down, boosted, nightcore, etc. A remix can be produced by the original artist or by another artist/producer. Note that covers with translated, modified or added lyrics should also be identified as derivative works due to the modification of the lyrics.</t>
      </text>
    </comment>
    <comment authorId="0" ref="F4">
      <text>
        <t xml:space="preserve">Any recording containing samples or any stock music, be it a royalty free beat, or any loops from a sample pack or music creation software.</t>
      </text>
    </comment>
    <comment authorId="0" ref="G4">
      <text>
        <t xml:space="preserve">Mix or Compilation - Any form of mashup (multiple track segments joined together) or medley (multiple full tracks joined together), as well as any track in a DJ set/mix or compilation (which does not have the same ISRC as the original).</t>
      </text>
    </comment>
    <comment authorId="0" ref="H4">
      <text>
        <t xml:space="preserve">Radio edit, extended or shortened versions, as well lofi, live or remastered versions.</t>
      </text>
    </comment>
    <comment authorId="0" ref="I4">
      <text>
        <t xml:space="preserve">White noise or sleep music, ambient, new age or meditation, karaoke or instrumental, classical (in the sense of older music like Beethoven and not contemporary music in the classical genre) — or any other similar genre where your recording is likely to be mistaken for another recording.</t>
      </text>
    </comment>
    <comment authorId="0" ref="J4">
      <text>
        <t xml:space="preserve">ASMR, sound effects, nature sounds, speech, spoken word, podcast or radio show.</t>
      </text>
    </comment>
    <comment authorId="0" ref="K4">
      <text>
        <t xml:space="preserve">Includes music generated through artificial intelligence (AI), either in whole or in part.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C6">
      <text>
        <t xml:space="preserve">Enter the Artist's AppleId or 'NEW' to indicate that the Artist needs an AppleId created for them.
Required for Distribution of content where the Artist has one of the following roles: 'Primary - Top', 'Primary - Other', 'Featuring', 'Remixer'</t>
      </text>
    </comment>
    <comment authorId="0" ref="D6">
      <text>
        <t xml:space="preserve">Enter the Artist's full Spotify URI address or 'NEW' to indicate that the Artist needs a Spotify URI created for them.
Required for Distribution of content where the Artist has one of the following roles: 'Primary - Top', 'Primary - Other', 'Featuring', 'Remixer'</t>
      </text>
    </comment>
    <comment authorId="0" ref="A14">
      <text>
        <t xml:space="preserve">EXACTLY means that EVERYTHING must be the same as your label copy and that any difference will result in creating different labels:
  Rolling Stones Records 
Is not identical to 
  ROLLING STONES REC. LTD.</t>
      </text>
    </comment>
    <comment authorId="0" ref="J20">
      <text>
        <t xml:space="preserve">Product Copyright Holder: the name of the person or entity that owns the exclusive rights to the complete product, including both sound recording and artwork, preceded by the year the rights were obtained. For example: 2008 Acme Inc.</t>
      </text>
    </comment>
    <comment authorId="0" ref="L20">
      <text>
        <t xml:space="preserve">Sound Recording Copyright Holder: the name of the person or entity that owns the exclusive rights to the sound recording, preceded by the year the rights were obtained. For example: 2008 Acme Inc.</t>
      </text>
    </comment>
    <comment authorId="0" ref="B21">
      <text>
        <t xml:space="preserve">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C21">
      <text>
        <t xml:space="preserve">image files can only be in jpeg/jpg format</t>
      </text>
    </comment>
    <comment authorId="0" ref="D21">
      <text>
        <t xml:space="preserve">leave blank if no UPC / EAN / JAN yet</t>
      </text>
    </comment>
    <comment authorId="0" ref="E21">
      <text>
        <t xml:space="preserve">1. required if no UPC / EAN / JAN yet
2. alphanumeric (letter or number) characters ONLY (no dashes, spaces, punctuation marks, etc.)
3. at least 3 characters</t>
      </text>
    </comment>
    <comment authorId="0" ref="F21">
      <text>
        <t xml:space="preserve">EXACTLY means that you should respect proper casing and punctuation:
  Exile on Main St. (vs)
  Exile On Main St</t>
      </text>
    </comment>
    <comment authorId="0" ref="G21">
      <text>
        <t xml:space="preserve">The language of the release TITLE; NOT the language of the songs/lyrics.</t>
      </text>
    </comment>
    <comment authorId="0" ref="N21">
      <text>
        <t xml:space="preserve">Can be:
YYYY-MM-DD
YYYY/MM/DD
YYYY MM DD.</t>
      </text>
    </comment>
    <comment authorId="0" ref="A28">
      <text>
        <t xml:space="preserve">leave blank if no UPC / EAN / JAN yet</t>
      </text>
    </comment>
    <comment authorId="0" ref="B28">
      <text>
        <t xml:space="preserve">1. required if no UPC / EAN / JAN yet
2. alphanumeric (letter or number) characters ONLY (no dashes, spaces, punctuation marks, etc.)
3. at least 3 characters</t>
      </text>
    </comment>
    <comment authorId="0" ref="F28">
      <text>
        <t xml:space="preserve">Each Release MUST have ONLY ONE Artist assigned the 'Primary - Top' role.  Any other primary artist should be assigned 'Primary - Other'.</t>
      </text>
    </comment>
    <comment authorId="0" ref="F35">
      <text>
        <t xml:space="preserve">vISRCs MUST be distinct from regular track ISRCs</t>
      </text>
    </comment>
    <comment authorId="0" ref="A36">
      <text>
        <t xml:space="preserve">leave blank if no UPC / EAN / JAN yet</t>
      </text>
    </comment>
    <comment authorId="0" ref="B36">
      <text>
        <t xml:space="preserve">1. required if no UPC / EAN / JAN yet
2. alphanumeric (letter or number) characters ONLY (no dashes, spaces, punctuation marks, etc.)
3. at least 3 characters</t>
      </text>
    </comment>
    <comment authorId="0" ref="F36">
      <text>
        <t xml:space="preserve">No dashes or spaces.
CCXXXYY#####
CC = Country code (2 characters)
XXX = Registrant code (3 characters)
YY = Year of release (2 digits)
##### = Release identifier (5 digits)</t>
      </text>
    </comment>
    <comment authorId="0" ref="G36">
      <text>
        <t xml:space="preserve">1. required if no ISRC or vISRC yet
2. alphanumeric (letter or number) characters ONLY (no dashes, spaces, punctuation marks, etc.)
3. at least 3 characters</t>
      </text>
    </comment>
    <comment authorId="0" ref="H36">
      <text>
        <t xml:space="preserve">EXACTLY means that you should respect proper casing and punctuation:
  Exile on Main St. (vs)
  Exile On Main St</t>
      </text>
    </comment>
    <comment authorId="0" ref="L36">
      <text>
        <t xml:space="preserve">An​ ​original​ ​composition​ ​is​ ​a​ ​track​ ​to​ ​which​ ​you’ve​ ​contributed lyrics​ ​and/or​ ​music,​ ​but​ ​which​ ​does​ ​NOT​ ​borrow​ ​elements from​ ​previously​ ​created​ ​works.
Public​ ​domain​ ​compositions​ ​are​ ​ones​ ​in​ ​which​ ​the intellectual​ ​property​ ​rights​ ​have​ ​expired​ ​or​ ​been​ ​forfeited. This​ ​generally​ ​applies​ ​to​ ​songs​ ​written​ ​before​ ​1923.</t>
      </text>
    </comment>
    <comment authorId="0" ref="M36">
      <text>
        <t xml:space="preserve">Required if distributing content.
FLAC or stereo WAV file.
Minimum bit depth: 16 bit; sample rate: 44.1 kHz
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N36">
      <text>
        <t xml:space="preserve">audio file extension
Required if audio URL provided</t>
      </text>
    </comment>
    <comment authorId="0" ref="O36">
      <text>
        <t xml:space="preserve">From where should your track start when people preview it? 
The value must be the number of seconds into the track. Example: 93.</t>
      </text>
    </comment>
    <comment authorId="0" ref="A44">
      <text>
        <t xml:space="preserve">vISRCs MUST be distinct from regular track ISRCs</t>
      </text>
    </comment>
    <comment authorId="0" ref="A45">
      <text>
        <t xml:space="preserve">leave blank if no ISRC yet</t>
      </text>
    </comment>
    <comment authorId="0" ref="B45">
      <text>
        <t xml:space="preserve">1. required if no ISRC or vISRC
2. alphanumeric (letter or number) characters ONLY (no dashes, spaces, punctuation marks, etc.)
3. at least 3 characters</t>
      </text>
    </comment>
    <comment authorId="0" ref="F45">
      <text>
        <t xml:space="preserve">Each Track MUST have ONLY ONE Artist assigned the 'Primary - Top' role.  Any other primary artist should be assigned 'Primary - Other'.</t>
      </text>
    </comment>
    <comment authorId="0" ref="A62">
      <text>
        <t xml:space="preserve">vISRCs MUST be distinct from regular track ISRCs</t>
      </text>
    </comment>
    <comment authorId="0" ref="A63">
      <text>
        <t xml:space="preserve">leave blank if no ISRC yet</t>
      </text>
    </comment>
    <comment authorId="0" ref="B63">
      <text>
        <t xml:space="preserve">1. required if no ISRC or vISRC
2. alphanumeric (letter or number) characters ONLY (no dashes, spaces, punctuation marks, etc.)
3. at least 3 characters</t>
      </text>
    </comment>
    <comment authorId="0" ref="G63">
      <text>
        <t xml:space="preserve">Only positive values up to 100%, total of all Contributors for a track must equal 100%
Maximum decimal places: 
2 in Percent format, e.g. 33.34%; 
or 
4 in Number format, e.g. 0.3334;
If there are 3 Contributors:
33.33%
33.33%
33.34%</t>
      </text>
    </comment>
    <comment authorId="0" ref="H63">
      <text>
        <t xml:space="preserve">Total of all Contributors for a track must equal 100%</t>
      </text>
    </comment>
    <comment authorId="0" ref="A71">
      <text>
        <t xml:space="preserve">vISRCs MUST be distinct from regular track ISRCs</t>
      </text>
    </comment>
    <comment authorId="0" ref="A72">
      <text>
        <t xml:space="preserve">leave blank if no ISRC yet</t>
      </text>
    </comment>
    <comment authorId="0" ref="B72">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E72">
      <text>
        <t xml:space="preserve">A new version that alters an original recording. Any derivative work, including modified versions such as sped-up, slowed-down, boosted, nightcore, etc. A remix can be produced by the original artist or by another artist/producer. Note that covers with translated, modified or added lyrics should also be identified as derivative works due to the modification of the lyrics.</t>
      </text>
    </comment>
    <comment authorId="0" ref="F72">
      <text>
        <t xml:space="preserve">Any recording containing samples or any stock music, be it a royalty free beat, or any loops from a sample pack or music creation software.</t>
      </text>
    </comment>
    <comment authorId="0" ref="G72">
      <text>
        <t xml:space="preserve">Mix or Compilation - Any form of mashup (multiple track segments joined together) or medley (multiple full tracks joined together), as well as any track in a DJ set/mix or compilation (which does not have the same ISRC as the original).</t>
      </text>
    </comment>
    <comment authorId="0" ref="H72">
      <text>
        <t xml:space="preserve">Radio edit, extended or shortened versions, as well lofi, live or remastered versions.</t>
      </text>
    </comment>
    <comment authorId="0" ref="I72">
      <text>
        <t xml:space="preserve">White noise or sleep music, ambient, new age or meditation, karaoke or instrumental, classical (in the sense of older music like Beethoven and not contemporary music in the classical genre) — or any other similar genre where your recording is likely to be mistaken for another recording.</t>
      </text>
    </comment>
    <comment authorId="0" ref="J72">
      <text>
        <t xml:space="preserve">ASMR, sound effects, nature sounds, speech, spoken word, podcast or radio show.</t>
      </text>
    </comment>
    <comment authorId="0" ref="K72">
      <text>
        <t xml:space="preserve">Includes music generated through artificial intelligence (AI), either in whole or in part.</t>
      </text>
    </comment>
  </commentList>
</comments>
</file>

<file path=xl/sharedStrings.xml><?xml version="1.0" encoding="utf-8"?>
<sst xmlns="http://schemas.openxmlformats.org/spreadsheetml/2006/main" count="2438" uniqueCount="1432">
  <si>
    <t>INTRODUCTION</t>
  </si>
  <si>
    <t>1)</t>
  </si>
  <si>
    <t>Please make a copy of the master document in order to start filling it out.  Make a copy by going to: File &gt; Make a copy</t>
  </si>
  <si>
    <t>2)</t>
  </si>
  <si>
    <t>Rename this document by replacing "MASTER" with your company name.</t>
  </si>
  <si>
    <t>3)</t>
  </si>
  <si>
    <t xml:space="preserve">Share it with kenny@revelator.com, milan@revelator.com and nicolas.g@revelator.com and provide FULL Edit permissions across the worksheet: </t>
  </si>
  <si>
    <t>go to Data&gt;Protected sheets and ranges&gt;Show all protected ranges&gt;Change permissions to full editing across ALL protected ranges from tabs 1 to 8</t>
  </si>
  <si>
    <t>You can also add anyone else from your team as needed.</t>
  </si>
  <si>
    <t>• Please fill out the catalog insert tabs enumerated in this spreadsheet by following the instructions in the corresponding fields and reading any applicable notes throughout</t>
  </si>
  <si>
    <t>• A black triangle in the top right corner of a cell means that there is a note — mouse over it to read it</t>
  </si>
  <si>
    <t>• If you are importing catalog metadata for reporting purposes only, then you only need to complete fields marked as REQUIRED as well as any UPC/ISRC or ID fields through tab 6</t>
  </si>
  <si>
    <t>Use the 'Sample Data' tab for additional guidance</t>
  </si>
  <si>
    <t>NOTE: Batch importing new catalog from the worksheet is generally not available on an ongoing basis so be sure all releases and tracks for import are included in the worksheet beforehand.</t>
  </si>
  <si>
    <t>After the initial import, adding catalog is meant to be done from the frontend of your account (or with the API if you are on an API plan).  There are liable to be additional fees if the worksheet is to be used for new catalog after the initial import.</t>
  </si>
  <si>
    <t>• We DO NOT support importing files from Google Drive</t>
  </si>
  <si>
    <t>NO DSP sale reports should be uploaded and reporting feeds should NOT be set up until the account's catalog has been finalized, which includes the following steps:</t>
  </si>
  <si>
    <t>• ALL EXISTING catalog content has been imported</t>
  </si>
  <si>
    <r>
      <rPr>
        <rFont val="Arial"/>
        <color rgb="FF172B4D"/>
        <sz val="11.0"/>
      </rPr>
      <t xml:space="preserve">• ALL catalog </t>
    </r>
    <r>
      <rPr>
        <rFont val="Arial"/>
        <b/>
        <color rgb="FF172B4D"/>
        <sz val="11.0"/>
      </rPr>
      <t>Delivery/Ingestion</t>
    </r>
    <r>
      <rPr>
        <rFont val="Arial"/>
        <color rgb="FF172B4D"/>
        <sz val="11.0"/>
      </rPr>
      <t xml:space="preserve"> FEEDS have been DISABLED</t>
    </r>
  </si>
  <si>
    <t>• Existing catalog has been validated (based on catalog export from account)</t>
  </si>
  <si>
    <t>• ALL catalog has been attributed to the proper accounts</t>
  </si>
  <si>
    <t>• ALL catalog fixes and updates have been completed</t>
  </si>
  <si>
    <t>If any DSP sale reports were uploaded or auto-imported before the catalog has been finalized, then the following corrective actions must be taken:</t>
  </si>
  <si>
    <t>• Unapprove and delete ALL DSP sale reports</t>
  </si>
  <si>
    <t>• Delete ALL error matching rules</t>
  </si>
  <si>
    <t>List all Artists to Import</t>
  </si>
  <si>
    <t>EnterpriseId=</t>
  </si>
  <si>
    <t>= REQUIRED FIELD</t>
  </si>
  <si>
    <t>= OPTIONAL FIELD</t>
  </si>
  <si>
    <t>= READ NOTES / INSTRUCTIONS</t>
  </si>
  <si>
    <t>TenantId=</t>
  </si>
  <si>
    <t>Artist Name</t>
  </si>
  <si>
    <t>Artist Image url</t>
  </si>
  <si>
    <t>Apple ArtistId</t>
  </si>
  <si>
    <t>Spotify Artist URI</t>
  </si>
  <si>
    <t>Meta ArtistId</t>
  </si>
  <si>
    <t>SoundCloud ProfileId</t>
  </si>
  <si>
    <t>Duplicate Names</t>
  </si>
  <si>
    <t>Written EXACTLY
as per label copy</t>
  </si>
  <si>
    <t>public URL triggering DIRECT DOWNLOAD of file</t>
  </si>
  <si>
    <t>Enter Artist's AppleId or 'NEW'=new AppleId</t>
  </si>
  <si>
    <t>Enter Artist's Spotify URI link 
or 'NEW'=new Spotify URI link</t>
  </si>
  <si>
    <t>Facebook Audio Library &amp; Rights Manager ArtistId</t>
  </si>
  <si>
    <t>SoundCloud Artist Username</t>
  </si>
  <si>
    <t>JKZ</t>
  </si>
  <si>
    <t>https://www.dropbox.com/scl/fi/7safoetk4p2k4vwi29k4c/Receba-789294845633-UPC.jpg?rlkey=3vty6hb78ol10iv3y6h4md8h3&amp;st=m30ox0p4&amp;dl=1</t>
  </si>
  <si>
    <t>spotify:artist:1Gn8eEXtOWHA7XU8wEWXOb</t>
  </si>
  <si>
    <t>Flash Beats Manow</t>
  </si>
  <si>
    <t>https://www.dropbox.com/scl/fi/wky0ryb739s0xs3wo5qop/A-Cl-usula-do-Contrato-789294962088-UPC.jpg?rlkey=91bp85llgb8ho5lnfcs56105s&amp;st=dn12pxrd&amp;dl=1</t>
  </si>
  <si>
    <t>spotify:artist:0ZIlwtVZkqtMZUpbHrz8TL</t>
  </si>
  <si>
    <t>Various Artists</t>
  </si>
  <si>
    <t>List all Labels to Import</t>
  </si>
  <si>
    <t>Label Name</t>
  </si>
  <si>
    <t>TokyoRecords</t>
  </si>
  <si>
    <t>PEJOTA10*</t>
  </si>
  <si>
    <t>= OPTIONAL</t>
  </si>
  <si>
    <t>RELEASE LEVEL - Label&lt;&gt;UPC/ID</t>
  </si>
  <si>
    <t>LABEL</t>
  </si>
  <si>
    <t>COVER IMAGE URL</t>
  </si>
  <si>
    <t>IMAGE TYPE</t>
  </si>
  <si>
    <t>UPC / EAN / JAN</t>
  </si>
  <si>
    <t>CATALOG RELEASE ID</t>
  </si>
  <si>
    <t>RELEASE TITLE</t>
  </si>
  <si>
    <t>TITLE LANGUAGE</t>
  </si>
  <si>
    <t>RELEASE VERSION</t>
  </si>
  <si>
    <t>RELEASE TYPE</t>
  </si>
  <si>
    <t>(P) Copyright</t>
  </si>
  <si>
    <t>(C) Copyright</t>
  </si>
  <si>
    <t>ORIGINAL
RELEASE DATE</t>
  </si>
  <si>
    <t>GENRE 1</t>
  </si>
  <si>
    <t>GENRE 2</t>
  </si>
  <si>
    <t>(select from Labels list, start typing or drag)</t>
  </si>
  <si>
    <r>
      <rPr>
        <rFont val="Arial"/>
        <color theme="1"/>
      </rPr>
      <t xml:space="preserve">public URL triggering DIRECT DOWNLOAD of file (10 MB max)
</t>
    </r>
    <r>
      <rPr>
        <rFont val="Arial"/>
        <i/>
        <color theme="1"/>
      </rPr>
      <t>required if distributing content</t>
    </r>
  </si>
  <si>
    <t>jpeg /
jpg
ONLY</t>
  </si>
  <si>
    <r>
      <rPr>
        <rFont val="Arial"/>
        <color theme="1"/>
      </rPr>
      <t xml:space="preserve">UPC: 12 digits
EAN: 13 digits
</t>
    </r>
    <r>
      <rPr>
        <rFont val="Arial"/>
        <i/>
        <color theme="1"/>
      </rPr>
      <t>blank if no code yet</t>
    </r>
  </si>
  <si>
    <r>
      <rPr>
        <rFont val="Arial"/>
        <color theme="1"/>
      </rPr>
      <t xml:space="preserve">Internal Ref. ID
</t>
    </r>
    <r>
      <rPr>
        <rFont val="Arial"/>
        <i/>
        <color theme="1"/>
      </rPr>
      <t>required if no code yet</t>
    </r>
  </si>
  <si>
    <t>Written EXACTLY as per label copy
(no version, type or contributor info)</t>
  </si>
  <si>
    <t>(select from list, start 
typing or drag)</t>
  </si>
  <si>
    <t>If applicable</t>
  </si>
  <si>
    <t>(select from list, start typing or drag)</t>
  </si>
  <si>
    <t>Year</t>
  </si>
  <si>
    <t>Holder</t>
  </si>
  <si>
    <t xml:space="preserve">YYYY-MM-DD
</t>
  </si>
  <si>
    <t xml:space="preserve">
(select from list, start typing or drag)</t>
  </si>
  <si>
    <t>Existing UPCs/
Catalog IDs</t>
  </si>
  <si>
    <t>Genre Dup</t>
  </si>
  <si>
    <t>jpg</t>
  </si>
  <si>
    <t>Receba</t>
  </si>
  <si>
    <t>Portuguese</t>
  </si>
  <si>
    <t>Extended</t>
  </si>
  <si>
    <t>Single</t>
  </si>
  <si>
    <t>Hip Hop/Rap</t>
  </si>
  <si>
    <t>African Reggae</t>
  </si>
  <si>
    <t>A Cláusula do Contrato</t>
  </si>
  <si>
    <t>= FILLED AUTOMATICALLY IF CODES/IDS MATCH</t>
  </si>
  <si>
    <t>RELEASE LEVEL - Artist&lt;&gt;UPC/ID : One Arist per row.  If a Release has multiple Artists, add the same Release Code/ID to a new row for each Artist.</t>
  </si>
  <si>
    <t>ARTIST</t>
  </si>
  <si>
    <t>ARTIST ROLE</t>
  </si>
  <si>
    <t>ARTIST ROLE
CATEGORY</t>
  </si>
  <si>
    <t>from Release_Label tab</t>
  </si>
  <si>
    <t>auto-fills if Release Code/Id matches 
Code/Id in Release_Label tab</t>
  </si>
  <si>
    <r>
      <rPr>
        <rFont val="Arial"/>
        <color theme="1"/>
        <sz val="10.0"/>
      </rPr>
      <t xml:space="preserve">ONE ARTIST PER ROW
select from Artists list, start typing or drag
</t>
    </r>
    <r>
      <rPr>
        <rFont val="Arial"/>
        <i/>
        <color theme="1"/>
        <sz val="10.0"/>
      </rPr>
      <t>If compilation: Various Artists</t>
    </r>
  </si>
  <si>
    <t>artist category auto-fills based on artist role</t>
  </si>
  <si>
    <t>Main Primary Artist</t>
  </si>
  <si>
    <t>Producer</t>
  </si>
  <si>
    <t>sort(if(countif($A$5:$A&amp;$B$5:$B,'3) Release_Label'!$D$5:$D&amp;'3) Release_Label'!$E$5:$E)=0,'3) Release_Label'!$D$5:$D&amp;" "&amp;'3) Release_Label'!$E$5:$E,))</t>
  </si>
  <si>
    <t>Engineer</t>
  </si>
  <si>
    <t>sort(if(countif({A5:A,B5:B},{'3) Release_Label'!D5:D,'3) Release_Label'!E5:E})=0,{'3) Release_Label'!D5:D,'3) Release_Label'!E5:E},))</t>
  </si>
  <si>
    <t>TRACK LEVEL - UPC/ID&lt;&gt;ISRC/ID</t>
  </si>
  <si>
    <t>TRACK</t>
  </si>
  <si>
    <t>ISRC/vISRC</t>
  </si>
  <si>
    <t>CATALOG TRACK ID</t>
  </si>
  <si>
    <t>TRACK TITLE</t>
  </si>
  <si>
    <t>TRACK VERSION</t>
  </si>
  <si>
    <t>LANGUAGE OF LYRICS</t>
  </si>
  <si>
    <t>EXPLICIT</t>
  </si>
  <si>
    <t>TYPE</t>
  </si>
  <si>
    <t>AUDIO FILE URL</t>
  </si>
  <si>
    <t>AUDIO TYPE</t>
  </si>
  <si>
    <t>TRACK PREVIEW</t>
  </si>
  <si>
    <t>COMPOSITION
 ISWC</t>
  </si>
  <si>
    <t>NUMBER</t>
  </si>
  <si>
    <r>
      <rPr>
        <rFont val="Arial"/>
        <color theme="1"/>
        <sz val="9.0"/>
      </rPr>
      <t xml:space="preserve">CCXXXYY#####
</t>
    </r>
    <r>
      <rPr>
        <rFont val="Arial"/>
        <i/>
        <color theme="1"/>
        <sz val="9.0"/>
      </rPr>
      <t>blank if no ISRC yet</t>
    </r>
  </si>
  <si>
    <r>
      <rPr>
        <rFont val="Arial"/>
        <color theme="1"/>
      </rPr>
      <t xml:space="preserve">Internal Ref. ID </t>
    </r>
    <r>
      <rPr>
        <rFont val="Arial"/>
        <i/>
        <color theme="1"/>
      </rPr>
      <t>required if no ISRC/vISRC</t>
    </r>
  </si>
  <si>
    <r>
      <rPr>
        <rFont val="Arial"/>
        <color theme="1"/>
        <sz val="10.0"/>
      </rPr>
      <t xml:space="preserve">(select from list, start 
typing or drag)
</t>
    </r>
    <r>
      <rPr>
        <rFont val="Arial"/>
        <i/>
        <color theme="1"/>
        <sz val="10.0"/>
      </rPr>
      <t>If no lyrics, select Instrumental</t>
    </r>
  </si>
  <si>
    <t>YES / NO</t>
  </si>
  <si>
    <t>Original / 
Public Domain</t>
  </si>
  <si>
    <t>public URL MUST trigger audio file DOWNLOAD</t>
  </si>
  <si>
    <t>wav /
flac
ONLY</t>
  </si>
  <si>
    <t>Preview Start Time (in seconds)</t>
  </si>
  <si>
    <t>QZW9M2221000</t>
  </si>
  <si>
    <t>NO</t>
  </si>
  <si>
    <t>Original</t>
  </si>
  <si>
    <t>https://www.dropbox.com/scl/fi/sjv55c5eqq0utzgy15ojq/Joy-Mejia-Amarte-Es-Mi-Pasatiempo.wav?rlkey=6j5ruxil4gc3vxonuf8ownxvi&amp;st=8kysye3f&amp;dl=1</t>
  </si>
  <si>
    <t>flac</t>
  </si>
  <si>
    <t>QZW9M2236571</t>
  </si>
  <si>
    <t>https://www.dropbox.com/scl/fi/ncgo2nf5srfafm0odhequ/Joy-Mejia-Te-Fall.wav?rlkey=6jl64vr3v0w4tn6km1sbhlxux&amp;st=um08pokf&amp;dl=1</t>
  </si>
  <si>
    <t>TRACK LEVEL - Artist&lt;&gt;ISRC/ID: One Arist per row.  If a Track has multiple Artists, add the same Track ISRC/ID to a new row for each Artist.</t>
  </si>
  <si>
    <t>update Artists set ReleasesCount=(select count (distinct ReleaseId) from Releases where ArtistId=(select max(ArtistId) from Artists where Name=N'' and EnterpriseId="&amp;EntId&amp;")),</t>
  </si>
  <si>
    <t>set TracksCount=(select count (distinct TrackId) from Tracks where ArtistId=(select max(ArtistId) from Artists where Name=N'' and EnterpriseId="&amp;EntId&amp;")))</t>
  </si>
  <si>
    <t>from Release_Track tab</t>
  </si>
  <si>
    <t>auto-fills if Track Code/Id matches 
Code/Id in Release_Track tab</t>
  </si>
  <si>
    <t>ONE ARTIST PER ROW
select from Artists list, start typing or drag</t>
  </si>
  <si>
    <t>where ArtistId=(select max(ArtistId) from Artists where Name=N'' and EnterpriseId="&amp;EntId&amp;"))</t>
  </si>
  <si>
    <t>List all Composition Parties to Import</t>
  </si>
  <si>
    <t>List all Compostion Publishers to Import</t>
  </si>
  <si>
    <t>Composition Contributor</t>
  </si>
  <si>
    <t>Publisher Name</t>
  </si>
  <si>
    <t>Must be a person's LEGAL NAME 
(first and last name)</t>
  </si>
  <si>
    <t>Only publishers that manage compositions.
Do not include publishers that are self-publishing.</t>
  </si>
  <si>
    <t>Agnaldo Paulino de Jesus Júnior</t>
  </si>
  <si>
    <t>SONY ATV</t>
  </si>
  <si>
    <t>update Artists set ReleasesCount=(select count (distinct ReleaseId) from Releases where ArtistId=(select max(ArtistId) from Artists where Name=N'' and EnterpriseId= )),</t>
  </si>
  <si>
    <t>Jackson Bertholdo Dos Santos</t>
  </si>
  <si>
    <t>WARNER CHAPPEL</t>
  </si>
  <si>
    <t>TRACK LEVEL - Composition&lt;&gt;ISRC/ID: One composition Contributor per row.  If a Track has multiple Contributors, add the same Track ISRC/ID to a new row for each Contributor.</t>
  </si>
  <si>
    <t>COMPOSITION CONTRIBUTOR</t>
  </si>
  <si>
    <t>ROLE</t>
  </si>
  <si>
    <t>SHARE%</t>
  </si>
  <si>
    <t>TOTAL%</t>
  </si>
  <si>
    <t>PUBLISHING</t>
  </si>
  <si>
    <t>PUBLISHER</t>
  </si>
  <si>
    <t>(select from Comp Contributors list, start typing or drag)</t>
  </si>
  <si>
    <t>read note</t>
  </si>
  <si>
    <t>auto sums</t>
  </si>
  <si>
    <t>fill out ONLY when 'Published' selected</t>
  </si>
  <si>
    <t>Composer &amp; Lyricist</t>
  </si>
  <si>
    <t>Copyright control (self-published)</t>
  </si>
  <si>
    <t>Published (managed by a publisher)</t>
  </si>
  <si>
    <t>TRACK LEVEL - Special Audio Properties&lt;&gt;ISRC/ID: Relates to the track's recording, meaning its master metadata.  (Multiple options can be selected for each track)</t>
  </si>
  <si>
    <t>SPECIAL AUDIO PROPERTIES</t>
  </si>
  <si>
    <t>REMIX or 
DERIVATIVE</t>
  </si>
  <si>
    <t>SAMPLES
or STOCK</t>
  </si>
  <si>
    <t>MIx or 
COMPILATION</t>
  </si>
  <si>
    <t>ALTERNATE 
VERSION</t>
  </si>
  <si>
    <t>SPECIAL
GENRE</t>
  </si>
  <si>
    <t>NON MUSICAL
CONTENT</t>
  </si>
  <si>
    <t>INCLUDES
 AI</t>
  </si>
  <si>
    <t>NONE APPLY</t>
  </si>
  <si>
    <t>Sample Data</t>
  </si>
  <si>
    <t>1) Artists list</t>
  </si>
  <si>
    <t>Bob Dylan</t>
  </si>
  <si>
    <t>https://artlistdata.blob.core.windows.net/artlist-artistpage/Assaf_Ayalon_-_P_-_3000.jpg</t>
  </si>
  <si>
    <t>The Doors</t>
  </si>
  <si>
    <t>2) Labels list</t>
  </si>
  <si>
    <t>Epic</t>
  </si>
  <si>
    <t>3) Release_Label</t>
  </si>
  <si>
    <t>RELEASE IMAGE URL</t>
  </si>
  <si>
    <t>public URL triggering DIRECT DOWNLOAD of file
(required if distributing content)</t>
  </si>
  <si>
    <t>UPC: 12 digits
EAN: 13 digits
blank if no code yet</t>
  </si>
  <si>
    <t>Internal Ref. ID
required if no code yet</t>
  </si>
  <si>
    <t>Genre
(select from list, start typing or drag)</t>
  </si>
  <si>
    <t>Other/Sub-genre
(select from list, start typing or drag)</t>
  </si>
  <si>
    <t>https://artlistdata.blob.core.windows.net/artlist-images/Soul_Salvation_-_3000_-_18.6.19.jpg</t>
  </si>
  <si>
    <t>Soul Salvation</t>
  </si>
  <si>
    <t>English</t>
  </si>
  <si>
    <t>Artlist Original</t>
  </si>
  <si>
    <t>Indie Rock</t>
  </si>
  <si>
    <t>4) Release_Artist(s)</t>
  </si>
  <si>
    <t>ONE ARTIST PER ROW
select from Artists list, start typing or drag
If compilation: Various Artists</t>
  </si>
  <si>
    <t>filter(A:B,F:F="Primary - Top")</t>
  </si>
  <si>
    <t>Primary - Top</t>
  </si>
  <si>
    <t>Featuring</t>
  </si>
  <si>
    <t>5) Release_Track</t>
  </si>
  <si>
    <t>ISRC</t>
  </si>
  <si>
    <t>CCXXXYY#####
blank if no ISRC yet</t>
  </si>
  <si>
    <t>Internal Ref. ID required if no ISRC/vISRC</t>
  </si>
  <si>
    <t>(select from list, start 
typing or drag)
If no lyrics, select Instrumental</t>
  </si>
  <si>
    <t>public URL triggering audio file DOWNLOAD</t>
  </si>
  <si>
    <t>IL6651901116</t>
  </si>
  <si>
    <t>https://artlistdata.blob.core.windows.net/artlist-wave/Soul_Salvation_-_Soul_Salvation_-_Master_(16-44.1).wav</t>
  </si>
  <si>
    <t>wav</t>
  </si>
  <si>
    <t>IL6651901117</t>
  </si>
  <si>
    <t>Instrumental</t>
  </si>
  <si>
    <t>https://artlistdata.blob.core.windows.net/artlist-wave/Soul_Salvation_-_Soul_Salvation_-_Instrumental_-_Master_(16-44.1).wav</t>
  </si>
  <si>
    <t>IL6651901128</t>
  </si>
  <si>
    <t>Going Back</t>
  </si>
  <si>
    <t>https://artlistdata.blob.core.windows.net/artlist-wave/Soul_Salvation_-_Going_Back_(16-44.1).wav</t>
  </si>
  <si>
    <t>6) Track_Artist(s)</t>
  </si>
  <si>
    <t>7) Comp Contributor/Publisher lists</t>
  </si>
  <si>
    <t>Jan Dough</t>
  </si>
  <si>
    <t>AK publishing, LLC (BMI)</t>
  </si>
  <si>
    <t>Elliot Cook</t>
  </si>
  <si>
    <t>AK The Savior Publishing (BMI)</t>
  </si>
  <si>
    <t>8) Track_Composition(s)</t>
  </si>
  <si>
    <t>Income Participant</t>
  </si>
  <si>
    <t>DO NOT REMOVE THESE COLUMNS</t>
  </si>
  <si>
    <t>GENRES</t>
  </si>
  <si>
    <t>Genre ID</t>
  </si>
  <si>
    <t>Language</t>
  </si>
  <si>
    <t>Language ID</t>
  </si>
  <si>
    <t>Track Type</t>
  </si>
  <si>
    <t>Track Type ID</t>
  </si>
  <si>
    <t>RightsName</t>
  </si>
  <si>
    <t>RightsId</t>
  </si>
  <si>
    <t>Composition Role</t>
  </si>
  <si>
    <t>Track Properties</t>
  </si>
  <si>
    <t>TrackRecordingFileFormats</t>
  </si>
  <si>
    <t>This genre list is the same as the one used by iTunes/Apple Music. If you wish to use a genre that isn't listed, please select the closest match.</t>
  </si>
  <si>
    <t>Album</t>
  </si>
  <si>
    <t>Acoustic Blues</t>
  </si>
  <si>
    <t>Abkhazian</t>
  </si>
  <si>
    <t>Cover</t>
  </si>
  <si>
    <t>Adaptor</t>
  </si>
  <si>
    <t>Remix or Derivative</t>
  </si>
  <si>
    <t>Subgenres can also be used as genres.</t>
  </si>
  <si>
    <t>EP</t>
  </si>
  <si>
    <t>Adult Alternative</t>
  </si>
  <si>
    <t>-- KEY ARTIST --</t>
  </si>
  <si>
    <t>Afar</t>
  </si>
  <si>
    <t>Arranger</t>
  </si>
  <si>
    <t>Samples or Stock</t>
  </si>
  <si>
    <t>Genres</t>
  </si>
  <si>
    <t>Subgenre</t>
  </si>
  <si>
    <t>Adult Contemporary</t>
  </si>
  <si>
    <t>Primary Artist</t>
  </si>
  <si>
    <t>Afrikaans</t>
  </si>
  <si>
    <t>Public domain</t>
  </si>
  <si>
    <t>Public domain (no publisher)</t>
  </si>
  <si>
    <t>Composer</t>
  </si>
  <si>
    <t>Mix or Compilation</t>
  </si>
  <si>
    <t>mp3</t>
  </si>
  <si>
    <t>Name</t>
  </si>
  <si>
    <t>Keywords</t>
  </si>
  <si>
    <t>Video</t>
  </si>
  <si>
    <t>African</t>
  </si>
  <si>
    <t>Akan</t>
  </si>
  <si>
    <t>Undeclared</t>
  </si>
  <si>
    <t>Alternate Version</t>
  </si>
  <si>
    <t>|Africa|Morocco|</t>
  </si>
  <si>
    <t/>
  </si>
  <si>
    <t>Ringtone</t>
  </si>
  <si>
    <t>African Dancehall</t>
  </si>
  <si>
    <t>Remixer</t>
  </si>
  <si>
    <t>Albanian</t>
  </si>
  <si>
    <t>Special Genre</t>
  </si>
  <si>
    <t>Alternative</t>
  </si>
  <si>
    <t>|00s Alternative|10s Alternative|80s Alternative|90s Alternative|Alt-Rock|Alt. Rock|Alternative Rock|Alternative-Rock|</t>
  </si>
  <si>
    <t>Britpop</t>
  </si>
  <si>
    <t>|Brit-Pop|Brit Pop|Brit Pop/Brit Rock|</t>
  </si>
  <si>
    <t>With</t>
  </si>
  <si>
    <t>Amharic</t>
  </si>
  <si>
    <t>Lyricist</t>
  </si>
  <si>
    <t>Non-Musical Content</t>
  </si>
  <si>
    <t>Anime</t>
  </si>
  <si>
    <t>|Cartoon Music|</t>
  </si>
  <si>
    <t>French Pop</t>
  </si>
  <si>
    <t>|French|Variete Francaise|French Rock|</t>
  </si>
  <si>
    <t>-- PRODUCER &amp; ENGINEER --</t>
  </si>
  <si>
    <t>Arabic</t>
  </si>
  <si>
    <t>Sub Arranger</t>
  </si>
  <si>
    <t>Includes AI</t>
  </si>
  <si>
    <t>|Arabic Belly-Dance|Arabic Children|Arabic Classic|Arabic Dance|Arabic Folklore|Arabic Rock|Arabic Romantic|Middle East|Middle Eastern|Pakistan|Rai|</t>
  </si>
  <si>
    <t>German Pop</t>
  </si>
  <si>
    <t>|German|German Rock|</t>
  </si>
  <si>
    <t>Afro House</t>
  </si>
  <si>
    <t>Aragonese</t>
  </si>
  <si>
    <t>Sub-Author</t>
  </si>
  <si>
    <t>Blues</t>
  </si>
  <si>
    <t>|Blues Revival|Boogie Woogie|Harmonica Blues|Juke Joint Blues|Jump-Blues|New Orleans R&amp;B|Piano Blues|Piedmont Blues|Pre-War|Songster|Texas Blues|Traditional Blues|Urban Blues|Vaudeville Blues|Work Song|</t>
  </si>
  <si>
    <t>Indo Pop</t>
  </si>
  <si>
    <t>|Indo|</t>
  </si>
  <si>
    <t>Afro Soul</t>
  </si>
  <si>
    <t>Art Direction</t>
  </si>
  <si>
    <t>Armenian</t>
  </si>
  <si>
    <t>Translator</t>
  </si>
  <si>
    <t>Brazilian</t>
  </si>
  <si>
    <t>|Afro|Afro Brazilian|Afro-Brazilian|Baiao|Boi Bumba|Bossa Nova|Brazil|Brazilian|Brazilian Afro|Brazilian Alternative/Indie|Brazilian Blues|Brazilian Boi Bumba|Brazilian Brega|Brazilian Caipira|Brazilian Candomble|Brazilian Capoiera|Brazilian Children's|Brazilian Children’s|Brazilian Christian|Brazilian Classical|Brazilian Gaucho|Brazilian Hip Hop|Brazilian Hip-Hop|Brazilian Instrumental|Brazilian Jovem Guarda|Brazilian Mangue Beat/Pernambuco|Brazilian Metal|Brazilian Pop|Brazilian Reggae|Brazilian Regional|Brazilian Rock|Brazilian Soul|Brazilian Spoken Word|Brazilian Tropicalia|Brazilian-Afro|Brazilian-Boi Bumba|Brazilian-Brega|Brazilian-Caipira|Brazilian-Candomble|Brazilian-Capoiera|Brazilian-Children's|Brazilian-Children’s|Brazilian-Christian|Brazilian-Classical|Brazilian-Gaucho|Brazilian-Instrumental|Brazilian-Jovem Guarda|Brazilian-Mangue Beat/Pernambuco|Brazilian-Regional|Brazilian-Spoken Word|Brazilian-Tropicalia|Brega|Caipira|Candomble|Capoiera|Funk Carioca|Gaucho|Jovem Guarda|Mangue Beat/Pernambuco|Musica Religiosa|Pop Brasileiro|Tropicalia|</t>
  </si>
  <si>
    <t>J-Pop</t>
  </si>
  <si>
    <t>Afro-Beat</t>
  </si>
  <si>
    <t>Artwork</t>
  </si>
  <si>
    <t>Assamese</t>
  </si>
  <si>
    <t>Writer</t>
  </si>
  <si>
    <t>Children's Music</t>
  </si>
  <si>
    <t>|Ancient Tales|Children's|Children’s|Children's Classical|Children’s Classical|Circus|Educational|Horspiele Fur Kinder|Kindermusik|Portuguese Children's Music|Portuguese Children’s Music|Rhymes/Fairytales|Spanish Children's Music|Spanish Children’s Music|</t>
  </si>
  <si>
    <t>Kayokyoku</t>
  </si>
  <si>
    <t>Afro-Pop</t>
  </si>
  <si>
    <t>Assistant Director</t>
  </si>
  <si>
    <t>Avaric</t>
  </si>
  <si>
    <t>Chinese</t>
  </si>
  <si>
    <t>|Chinese Children's|Chinese Children’s|Chinese Comedy|Chinese Electrical|Chinese Instrumental|Chinese R&amp;B|Chinese Singer/Songwriter|Chinese Soundtrack|Chinese Soundtracks|Chinese Spoken Word|Chinese Vocalist|</t>
  </si>
  <si>
    <t>Malaysian Pop</t>
  </si>
  <si>
    <t>Afro-folk</t>
  </si>
  <si>
    <t>Assistant Mastering Engineer</t>
  </si>
  <si>
    <t>Avestan</t>
  </si>
  <si>
    <t>Christian &amp; Gospel</t>
  </si>
  <si>
    <t>|Alt Contemporary Christian|Christian|Christian/Gospel|Contemporary Christian|</t>
  </si>
  <si>
    <t>Mandopop</t>
  </si>
  <si>
    <t>|Mandarin Pop|Mandarin-Pop|</t>
  </si>
  <si>
    <t>Afro-fusion</t>
  </si>
  <si>
    <t>Assistant Mixing Engineer</t>
  </si>
  <si>
    <t>Aymara</t>
  </si>
  <si>
    <t>Classical</t>
  </si>
  <si>
    <t>|Ballet|Classical Period|Classical Sacred|Zarzuela|</t>
  </si>
  <si>
    <t>Manilla Sound</t>
  </si>
  <si>
    <t>Afrobeats</t>
  </si>
  <si>
    <t>Assistant Producer</t>
  </si>
  <si>
    <t>Azerbaijani</t>
  </si>
  <si>
    <t>Comedy</t>
  </si>
  <si>
    <t>|Blue Humor|Christian Comedy|Ethnic Comedy|Gay Comedy|Musical Comedy|Observational Humor|Political Humor|Prank Calls|Radio Comedy|Satire|Sketch Comedy|Standup|</t>
  </si>
  <si>
    <t>Oldies</t>
  </si>
  <si>
    <t>Alte</t>
  </si>
  <si>
    <t>Assistant Recording Engineer</t>
  </si>
  <si>
    <t>Bambara</t>
  </si>
  <si>
    <t>Country</t>
  </si>
  <si>
    <t>|Classic Country|Country Boogie|Country Folk|Country Pop|Country-Pop|Country Singer-Songwriter|Country Singer/Songwriter|Live Country|Nashville Sound/Countrypolitan|Old-Timey|String Bands|Western Swing|Yodeling|</t>
  </si>
  <si>
    <t>Original Pilipino Music</t>
  </si>
  <si>
    <t>Assistant Sound Engineer</t>
  </si>
  <si>
    <t>Bashkir</t>
  </si>
  <si>
    <t>Cuban</t>
  </si>
  <si>
    <t>|Cuba|</t>
  </si>
  <si>
    <t>Pinoy Pop</t>
  </si>
  <si>
    <t>Alternative &amp; Rock in Spanish</t>
  </si>
  <si>
    <t>Co-Producer</t>
  </si>
  <si>
    <t>Basque</t>
  </si>
  <si>
    <t>Dance</t>
  </si>
  <si>
    <t>|Abstract|Acid Jazz|Acid-Jazz|Big Beat|Chill|Chill Out|Club/Dance|Dance Compilations|Dance Crossover|Dark|Dark Wave|DJ|DJ Mix|Euro-Beat|Euro-Dance|Dance/Electronic|Freestyle|Funky Breaks|Future Pop-Synth|Gabba|Glitch|Global Groove|Gloom Wave|Groove|Illbient|Newbeat|Nu Breaks|Nu-Jazz/Broken Beat|Psychedelic|Rave|Remix|Space|Tribal|Trip Hop|</t>
  </si>
  <si>
    <t>Pop/Rock</t>
  </si>
  <si>
    <t>Alternative Country</t>
  </si>
  <si>
    <t>Cover Art</t>
  </si>
  <si>
    <t>Belarusian</t>
  </si>
  <si>
    <t>Disney</t>
  </si>
  <si>
    <t>Shows</t>
  </si>
  <si>
    <t>Alternative Folk</t>
  </si>
  <si>
    <t>Creative Director</t>
  </si>
  <si>
    <t>Bengali</t>
  </si>
  <si>
    <t>Easy Listening</t>
  </si>
  <si>
    <t>Soft Rock</t>
  </si>
  <si>
    <t>Alternative Rap</t>
  </si>
  <si>
    <t>Bhojpuri</t>
  </si>
  <si>
    <t>Electronic</t>
  </si>
  <si>
    <t>|Electro|Electro Dark|Electroclash|Electropop|Electronic 12-inches|Electronic Dub|</t>
  </si>
  <si>
    <t>Tai-Pop</t>
  </si>
  <si>
    <t>|Tai|</t>
  </si>
  <si>
    <t>Amapiano</t>
  </si>
  <si>
    <t>Executive Producer</t>
  </si>
  <si>
    <t>Fitness &amp; Workout</t>
  </si>
  <si>
    <t>|Exercise|</t>
  </si>
  <si>
    <t>Teen Pop</t>
  </si>
  <si>
    <t>|Teen|</t>
  </si>
  <si>
    <t>Ambient</t>
  </si>
  <si>
    <t>Illustration</t>
  </si>
  <si>
    <t>Bihari languages</t>
  </si>
  <si>
    <t>Folk</t>
  </si>
  <si>
    <t>|Modern Folk|Neo Folk|Neo-Folk|</t>
  </si>
  <si>
    <t>Thai Pop</t>
  </si>
  <si>
    <t>|Thai|</t>
  </si>
  <si>
    <t>American Trad Rock</t>
  </si>
  <si>
    <t>Mastering Engineer</t>
  </si>
  <si>
    <t>Bislama</t>
  </si>
  <si>
    <t>|00s Hip-Hop|10s Hip-Hop|80s Hip-Hop|90s Hip-Hop|A Cappellas|Beats &amp; Breaks|Comedy Rap|Electro-Funk|Foreign Language Rap|French Hip-Hop|German Hip-Hop|Grime|Hip-Hop Hitmakers|Hip-Hop/Rap|Indie/Underground Hip-Hop|Instrumental Hip-Hop|International Hip-Hop|Italian Hip-Hop|Midwest Hip-Hop|New Jack Swing|Southern Hip-Hop|Turntablism|UK Hip-Hop|</t>
  </si>
  <si>
    <t>|Adult Alternative Pop/Rock|Adult Contemporary|Commercial Alternative|</t>
  </si>
  <si>
    <t>Americana</t>
  </si>
  <si>
    <t>Mixer</t>
  </si>
  <si>
    <t>Bosnian</t>
  </si>
  <si>
    <t>Holiday</t>
  </si>
  <si>
    <t>|Buddhist|Hindu|Kwaanza|Muslim|Zorastrian|Holiday: Other|Holiday - Other|Holiday Other|</t>
  </si>
  <si>
    <t>|Americana|</t>
  </si>
  <si>
    <t>Mixing Engineer</t>
  </si>
  <si>
    <t>Breton</t>
  </si>
  <si>
    <t>Indian</t>
  </si>
  <si>
    <t>|Indian DJ|Indian-DJ|Indian-Fusion|Indian Fusion|</t>
  </si>
  <si>
    <t>Arena Rock</t>
  </si>
  <si>
    <t>|Arena|</t>
  </si>
  <si>
    <t>Arabesque</t>
  </si>
  <si>
    <t>Package Design</t>
  </si>
  <si>
    <t>Bulgarian</t>
  </si>
  <si>
    <t>Indian Classical</t>
  </si>
  <si>
    <t>Blues-Rock</t>
  </si>
  <si>
    <t>|Blues Rock|</t>
  </si>
  <si>
    <t>Photographer</t>
  </si>
  <si>
    <t>Burmese</t>
  </si>
  <si>
    <t>Inspirational</t>
  </si>
  <si>
    <t>British Invasion</t>
  </si>
  <si>
    <t>Arabic Pop</t>
  </si>
  <si>
    <t>Post-Production</t>
  </si>
  <si>
    <t>Cantonese</t>
  </si>
  <si>
    <t>Death Metal/Black Metal</t>
  </si>
  <si>
    <t>|Black|Black/Death Metal|Death|Doom|Doom Metal|</t>
  </si>
  <si>
    <t>Production Assistant</t>
  </si>
  <si>
    <t>Catalan</t>
  </si>
  <si>
    <t>Jazz</t>
  </si>
  <si>
    <t>|African Jazz|Bop|Brass Bands|Cabaret|Classic Jazz|Electronic Jazz|Free Jazz|Funk Jazz|Jazz/Blues|Jazz Vocals|Jive|Live Jazz|Post-Bop|Progressive Jazz|Soul Jazz|</t>
  </si>
  <si>
    <t>Glam Rock</t>
  </si>
  <si>
    <t>|Glam|</t>
  </si>
  <si>
    <t>Art Song</t>
  </si>
  <si>
    <t>Recording Engineer</t>
  </si>
  <si>
    <t>Central Khmer</t>
  </si>
  <si>
    <t>Karaoke</t>
  </si>
  <si>
    <t>Hair Metal</t>
  </si>
  <si>
    <t>|Hair Band|</t>
  </si>
  <si>
    <t>Asia</t>
  </si>
  <si>
    <t>Sound Editor</t>
  </si>
  <si>
    <t>Chamorro</t>
  </si>
  <si>
    <t>Korean</t>
  </si>
  <si>
    <t>|Korean Ballads|Korean CCM|Korean Children's Music|Korean Dance/Electronic|Korean OST|Korean R&amp;B|Korean Religion|Korean Trot|</t>
  </si>
  <si>
    <t>Hard Rock</t>
  </si>
  <si>
    <t>Sound Engineer</t>
  </si>
  <si>
    <t>Chechen</t>
  </si>
  <si>
    <t>Latin</t>
  </si>
  <si>
    <t>|Afro-Cuban|Afro-Peruvian|Argentine Folklore|Bachata|Banda|Big Band Latino|Bomba|Can|Candombe|Cantautor|Caribbean|Cha Cha Cha|Conjunto|Copla|Cuatro|Cumbia|Danzon|Guaganco|Italian|Jibaro|Latin Folk|Latin Music|Latin Soul|Mariachi|Merengue|Norte|Nueva Canci|Pachanga|Piena|Quechua|Ranchero|Rumba|Son|Spanish|Tejano|Toque|Trova|Vallenato|</t>
  </si>
  <si>
    <t>Heavy Metal</t>
  </si>
  <si>
    <t>|70's Metal|70’s Metal|80's Metal|80’s Metal|90's Metal|90’s Metal|Alt Metal|British Metal|Classic Metal|Funk Metal|Glitter|Goth-Metal|Grindcore|Guitar Virtuoso|Heavy|Industrial Metal|Instrumental Metal|Metal|Metal/Punk|Metalcore|Neo-Classical Metal|New Wave of British Heavy Metal|Pop-Metal|Pop Metal|Power Metal|Progressive Metal|Punk Metal|Rap Metal|Scandinavian Metal|Sludge|Sludge Metal|Speed|Speedcore|Speed Metal|Stoner Metal|Stoner Rock|Straight-Edge|Teenager|Thrash|Thrash/Speed Metal|</t>
  </si>
  <si>
    <t>Australia</t>
  </si>
  <si>
    <t>Tonmeister</t>
  </si>
  <si>
    <t>Chichewa</t>
  </si>
  <si>
    <t>Marching Bands</t>
  </si>
  <si>
    <t>Jam Bands</t>
  </si>
  <si>
    <t>|Jam Band|Jam Rock|</t>
  </si>
  <si>
    <t>Avant-Garde</t>
  </si>
  <si>
    <t>Vocal Producer</t>
  </si>
  <si>
    <t>Chinese Simplified</t>
  </si>
  <si>
    <t>New Age</t>
  </si>
  <si>
    <t>|Ambient/Atmospheres|Contemporary Instrumental|Electro-Acoustic|Ethnic Fusion|Minimalism|Neo-Classical|(New Age) Instrumental|Self-Help|Self Help|Spiritual|</t>
  </si>
  <si>
    <t>Prog-Rock/Art Rock</t>
  </si>
  <si>
    <t>|Art Rock|Art-Rock|Experimental Rock|Krautrock|Progressive Rock|Progressive/Art Rock|Prog-Rock|Post-Rock/Experimental|Post-Rock|Synthrock|</t>
  </si>
  <si>
    <t>Avant-Garde Jazz</t>
  </si>
  <si>
    <t>-- PERFORMER --</t>
  </si>
  <si>
    <t>Chinese Traditional</t>
  </si>
  <si>
    <t>Opera</t>
  </si>
  <si>
    <t>Psychedelic</t>
  </si>
  <si>
    <t>|Psychedelic Rock|Psychobilly|</t>
  </si>
  <si>
    <t>Axé</t>
  </si>
  <si>
    <t>Singer</t>
  </si>
  <si>
    <t>Church Slavic</t>
  </si>
  <si>
    <t>Orchestral</t>
  </si>
  <si>
    <t>Rock &amp; Roll</t>
  </si>
  <si>
    <t>|50s Rock 'n' Roll|Rock 'n' Roll|Rock and Roll|</t>
  </si>
  <si>
    <t>Bachata</t>
  </si>
  <si>
    <t>Alto</t>
  </si>
  <si>
    <t>Chuvash</t>
  </si>
  <si>
    <t>Pop</t>
  </si>
  <si>
    <t>|50s Pop|60s Pop|70s Pop|80s Pop|90s Pop|00s Pop|10s Pop|Bubble Gum|Chamber Pop|Dance-Pop|Dance Pop|Diva|Dream Pop|Dream-Pop|Euro-Pop|Girl Group|Parody|Power Pop|Power-Pop|</t>
  </si>
  <si>
    <t>Rockabilly</t>
  </si>
  <si>
    <t>Baile Funk</t>
  </si>
  <si>
    <t>Baritone</t>
  </si>
  <si>
    <t>Cornish</t>
  </si>
  <si>
    <t>R&amp;B/Soul</t>
  </si>
  <si>
    <t>|Classic R&amp;B|Funk|Go-Go|Golden Age|Quiet Storm|R&amp;B|R&amp;B Pop Crossover|R&amp;B Rap mix|R&amp;B Soul|R&amp;B-Soul|R&amp;B/Soul Gospel|Rhythm &amp; Blues|Soul / R&amp;B|Traditional R&amp;B|Urban|Urban Adult Contemporary|Urban/R&amp;B|</t>
  </si>
  <si>
    <t>Roots Rock</t>
  </si>
  <si>
    <t>Baladas y Boleros</t>
  </si>
  <si>
    <t>Chorus</t>
  </si>
  <si>
    <t>Corsican</t>
  </si>
  <si>
    <t>Reggae</t>
  </si>
  <si>
    <t>|Ragga|Reggae Gospel|Reggae/Ska|</t>
  </si>
  <si>
    <t>Singer/Songwriter</t>
  </si>
  <si>
    <t>Baroque Era</t>
  </si>
  <si>
    <t>Conductor</t>
  </si>
  <si>
    <t>Cree</t>
  </si>
  <si>
    <t>Regional Indian</t>
  </si>
  <si>
    <t>|Bhangra|Hindi|Hindi Devotional|Hindi Film|Hindi Non-Film|Indian Bhangra|Indian Hindi|Indian Hindi Devotional|Indian Hindi Film|Indian Hindi Non Film|Indian Konkani|Indian Oriya|Indian Oriya Film|Indian Regional|Indian-Bhangra|Indian-Hindi|Indian-Hindi Devotional|Indian-Hindi Film|Indian-Hindi Non-Film|Indian-Konkani|Indian-Oriya|Indian-Oriya Film|Konkani|Oriya|Oriya Film|</t>
  </si>
  <si>
    <t>Southern Rock</t>
  </si>
  <si>
    <t>Bass</t>
  </si>
  <si>
    <t>Ensemble</t>
  </si>
  <si>
    <t>Croatian</t>
  </si>
  <si>
    <t>Rock</t>
  </si>
  <si>
    <t>|00s Rock|00's Rock|10s Rock|10's Rock|60s Rock|60's Rock|70s Rock|70's Rock|80's|80s Rock|90s Rock|90's Rock|Boogie Rock|Classic Rock|Country Rock|Country-Rock|Digital Rock|Digital-Rock|Drone|Duro|Electronic Rock|Electrorock|Folk Rock|Folk-Rock|Foreign Language Rock|Funk Rock|Garage Rock|Goth|Grunge|Indie Rock|Instrumental Rock|Instrumental-Rock|Live Rock|Lo-fi|Math Rock|Modern Rock|New Wave|New-Wave|Noise-Rock|Pop Rock|Pop-Rock|Proto-Punk|Radical|Rock Brasileiro|Rock Instrumental|Rock-Instrumental|Soft Rock|Techno Rock|Techno-rock|Urbano|</t>
  </si>
  <si>
    <t>Surf</t>
  </si>
  <si>
    <t>Bebop</t>
  </si>
  <si>
    <t>Mezzo Soprano</t>
  </si>
  <si>
    <t>Czech</t>
  </si>
  <si>
    <t>|Singer-Songwriter|</t>
  </si>
  <si>
    <t>Tex-Mex</t>
  </si>
  <si>
    <t>Benga</t>
  </si>
  <si>
    <t>Orchestra</t>
  </si>
  <si>
    <t>Danish</t>
  </si>
  <si>
    <t>Soundtrack</t>
  </si>
  <si>
    <t>|Radio|Soundtracks|Soundtracks/Cast Albums|</t>
  </si>
  <si>
    <t>|Ambient Dub|</t>
  </si>
  <si>
    <t>Soloist</t>
  </si>
  <si>
    <t>Divehi</t>
  </si>
  <si>
    <t>Spoken Word</t>
  </si>
  <si>
    <t>|Comedy/Spoken Word/Other|Horbucher|Hörbücher|Horspiele|Hörspiele|Lectures|Poetry|</t>
  </si>
  <si>
    <t>Soprano</t>
  </si>
  <si>
    <t>Dutch</t>
  </si>
  <si>
    <t>Turkish</t>
  </si>
  <si>
    <t>|Turkish Arabesque|Turkish Ashik Songs|Turkish Blacksee Reg.|Turkish Children's|Turkish Children’s|Turkish Classical|Turkish Dance|Turkish Electronic|Turkish Hip Hop|Turkish Hip-Hop|Turkish Instrumental|Turkish Islamic and Sufi|Turkish Islamic Spoken|Turkish Jazz|Turkish Metal|Turkish New Age|Turkish Oriental|Turkish Poetry|Turkish Punk|Turkish Sountrack|Turkish Standup|Turkish Tango|Turkish Techno|Turkish Traditional|Turkish Trip Hop|Turkish World|Turkish Arabesk|</t>
  </si>
  <si>
    <t>Downtempo</t>
  </si>
  <si>
    <t>|Downbeat|</t>
  </si>
  <si>
    <t>Big Band</t>
  </si>
  <si>
    <t>Tenor</t>
  </si>
  <si>
    <t>Dzongkha</t>
  </si>
  <si>
    <t>Vocal</t>
  </si>
  <si>
    <t>|Cocktail/Lounge|Female Vocalist|Male Vocalist|Vocal/Easy Listening|</t>
  </si>
  <si>
    <t>Dubstep</t>
  </si>
  <si>
    <t>Bluegrass</t>
  </si>
  <si>
    <t>Accordion</t>
  </si>
  <si>
    <t>World</t>
  </si>
  <si>
    <t>|Drinking Songs|Folklore|Indigenous|International Pop|Mediterranean|Music Francophone|Pacific Islands|Pan Global|South Pacific|World Chants|World Classical|World Country-Rock|World Electronic|World Electronica|World Folk|World Folklore|World Jazz|World Metal|World Music|World New Age|World Pop|World Punk|World R&amp;B|World Rock|World Soundtrack|World Soundtracks|</t>
  </si>
  <si>
    <t>Electronica</t>
  </si>
  <si>
    <t>Acoustic Baritone Guitar</t>
  </si>
  <si>
    <t>Esperanto</t>
  </si>
  <si>
    <t>IDM/Experimental</t>
  </si>
  <si>
    <t>|I.D.M.|IDM Experimental|Experimental|</t>
  </si>
  <si>
    <t>Acoustic Bass Guitar</t>
  </si>
  <si>
    <t>Estonian</t>
  </si>
  <si>
    <t>Industrial</t>
  </si>
  <si>
    <t>Bolero</t>
  </si>
  <si>
    <t>Acoustic Fretless Guitar</t>
  </si>
  <si>
    <t>Ewe</t>
  </si>
  <si>
    <t>Classic/Modern Dancehall</t>
  </si>
  <si>
    <t>|Dancehall|</t>
  </si>
  <si>
    <t>Bollywood</t>
  </si>
  <si>
    <t>Acoustic Guitar</t>
  </si>
  <si>
    <t>Faroese</t>
  </si>
  <si>
    <t>Dub</t>
  </si>
  <si>
    <t>Bongo-Flava</t>
  </si>
  <si>
    <t>Actor</t>
  </si>
  <si>
    <t>Fijian</t>
  </si>
  <si>
    <t>Lovers Rock</t>
  </si>
  <si>
    <t>Bossa Nova</t>
  </si>
  <si>
    <t>Alto Clarinet</t>
  </si>
  <si>
    <t>Finnish</t>
  </si>
  <si>
    <t>Roots Reggae</t>
  </si>
  <si>
    <t>Brass &amp; Woodwinds</t>
  </si>
  <si>
    <t>Alto Flute</t>
  </si>
  <si>
    <t>French</t>
  </si>
  <si>
    <t>Ska</t>
  </si>
  <si>
    <t>|Rocksteady|Ska/Rocksteady|</t>
  </si>
  <si>
    <t>Alto Horn</t>
  </si>
  <si>
    <t>Fulah</t>
  </si>
  <si>
    <t>Breakbeat</t>
  </si>
  <si>
    <t>Alto Recorder</t>
  </si>
  <si>
    <t>Gaelic</t>
  </si>
  <si>
    <t>Contemporary Folk</t>
  </si>
  <si>
    <t>|Progressive Folk|</t>
  </si>
  <si>
    <t>Alto Saxophone</t>
  </si>
  <si>
    <t>Galician</t>
  </si>
  <si>
    <t>Contemporary Singer/Songwriter</t>
  </si>
  <si>
    <t>|Contemporary Singer-Songwriter|</t>
  </si>
  <si>
    <t>Alto Trombone</t>
  </si>
  <si>
    <t>Ganda</t>
  </si>
  <si>
    <t>Folk-Rock</t>
  </si>
  <si>
    <t>|Folk|</t>
  </si>
  <si>
    <t>CCM</t>
  </si>
  <si>
    <t>Alto Violin</t>
  </si>
  <si>
    <t>Georgian</t>
  </si>
  <si>
    <t>New Acoustic</t>
  </si>
  <si>
    <t>Cajun</t>
  </si>
  <si>
    <t>Alto Vocals</t>
  </si>
  <si>
    <t>German</t>
  </si>
  <si>
    <t>Traditional Folk</t>
  </si>
  <si>
    <t>|Acoustic|Anti-Folk|Bluegrass|Chassidic|Field Recordings|Folk Revival|Folk Spoken Word|Folk Traditional|Gypsy|Historical|Jota|Jug Bands|Live Folk|Medieval Folk|Mediterranean Folk|Old Times|Political/Protest|Sardana|Scottish Folk|Sea Shanties|Sepharad|Skiffle|</t>
  </si>
  <si>
    <t>Calypso</t>
  </si>
  <si>
    <t>Appalachian Dulcimer</t>
  </si>
  <si>
    <t>Greek</t>
  </si>
  <si>
    <t>Cantata</t>
  </si>
  <si>
    <t>Archlute</t>
  </si>
  <si>
    <t>Guarani</t>
  </si>
  <si>
    <t>|Afro Beat|Afrobeat|</t>
  </si>
  <si>
    <t>Cantopop</t>
  </si>
  <si>
    <t>Assistant Conductor</t>
  </si>
  <si>
    <t>Gujarati</t>
  </si>
  <si>
    <t>|Afro Pop|African Pop|</t>
  </si>
  <si>
    <t>Caribbean</t>
  </si>
  <si>
    <t>Autoharp</t>
  </si>
  <si>
    <t>Haitian</t>
  </si>
  <si>
    <t>Carnatic Classical</t>
  </si>
  <si>
    <t>Background Vocals</t>
  </si>
  <si>
    <t>Haryanvi</t>
  </si>
  <si>
    <t>|Central Asian|East Asia|Far Eastern|Gamelan|Indonesia|South Asia|Southeast Asian|</t>
  </si>
  <si>
    <t>Cello</t>
  </si>
  <si>
    <t>Baglama</t>
  </si>
  <si>
    <t>|Australian|Australian Folk|Australian Indigenous|Australian Rock|Australia/South Pacific|Maori Traditional|</t>
  </si>
  <si>
    <t>Celtic</t>
  </si>
  <si>
    <t>Bagpipes</t>
  </si>
  <si>
    <t>Hausa</t>
  </si>
  <si>
    <t>Celtic Folk</t>
  </si>
  <si>
    <t>Balafon</t>
  </si>
  <si>
    <t>Hebrew</t>
  </si>
  <si>
    <t>Chachacha</t>
  </si>
  <si>
    <t>Balalaika</t>
  </si>
  <si>
    <t>Herero</t>
  </si>
  <si>
    <t>|Cap-verde|Mestizo|</t>
  </si>
  <si>
    <t>Chamber Music</t>
  </si>
  <si>
    <t>Band</t>
  </si>
  <si>
    <t>Hindi</t>
  </si>
  <si>
    <t>Chant</t>
  </si>
  <si>
    <t>Bandoneon</t>
  </si>
  <si>
    <t>Hiri Motu</t>
  </si>
  <si>
    <t>Chanukah</t>
  </si>
  <si>
    <t>Bandurria</t>
  </si>
  <si>
    <t>Hungarian</t>
  </si>
  <si>
    <t>Contemporary Celtic</t>
  </si>
  <si>
    <t>Chicago Blues</t>
  </si>
  <si>
    <t>Banjo</t>
  </si>
  <si>
    <t>Icelandic</t>
  </si>
  <si>
    <t>Dangdut</t>
  </si>
  <si>
    <t>Bansuri</t>
  </si>
  <si>
    <t>Ido</t>
  </si>
  <si>
    <t>Dini</t>
  </si>
  <si>
    <t>Barbat</t>
  </si>
  <si>
    <t>Igbo</t>
  </si>
  <si>
    <t>Enka</t>
  </si>
  <si>
    <t>Chinese Alt</t>
  </si>
  <si>
    <t>Baritone Guitar</t>
  </si>
  <si>
    <t>Indonesian</t>
  </si>
  <si>
    <t>Europe</t>
  </si>
  <si>
    <t>|Alternative/Indie Aus Deutschland|Asturias|Basque|Belgian|Castilla|Central Europe|Central European|Eastern Europe|Eastern European|English Folk|Levenslied|Galicia|Greece|Greek|Irish|Italy|Nordic|Portugal|Romanian|Romanian Manele|Scandinavian|Scottish|Schlager|Swiss|Viennese Folk|Western Europe|Western European|</t>
  </si>
  <si>
    <t>Chinese Classical</t>
  </si>
  <si>
    <t>Baritone Horn</t>
  </si>
  <si>
    <t>Interlingua</t>
  </si>
  <si>
    <t>Fado</t>
  </si>
  <si>
    <t>|Novo Fado|</t>
  </si>
  <si>
    <t>Chinese Flute</t>
  </si>
  <si>
    <t>Baritone Vocals</t>
  </si>
  <si>
    <t>Interlingue</t>
  </si>
  <si>
    <t>Farsi</t>
  </si>
  <si>
    <t>Chinese Hip-Hop</t>
  </si>
  <si>
    <t>Baroque guitar</t>
  </si>
  <si>
    <t>Inuktitut</t>
  </si>
  <si>
    <t>Flamenco</t>
  </si>
  <si>
    <t>|Nuevo Flamenco|</t>
  </si>
  <si>
    <t>Chinese Opera</t>
  </si>
  <si>
    <t>Barrel Organ</t>
  </si>
  <si>
    <t>Inupiaq</t>
  </si>
  <si>
    <t>France</t>
  </si>
  <si>
    <t>Chinese Orchestral</t>
  </si>
  <si>
    <t>Irish</t>
  </si>
  <si>
    <t>German Folk</t>
  </si>
  <si>
    <t>Chinese Regional Folk</t>
  </si>
  <si>
    <t>Bass Clarinet</t>
  </si>
  <si>
    <t>Italian</t>
  </si>
  <si>
    <t>Halk</t>
  </si>
  <si>
    <t>|Turkish Folk|</t>
  </si>
  <si>
    <t>Chinese Rock</t>
  </si>
  <si>
    <t>Bass Drum</t>
  </si>
  <si>
    <t>Japanese</t>
  </si>
  <si>
    <t>Hawaii</t>
  </si>
  <si>
    <t>Chinese Strings</t>
  </si>
  <si>
    <t>Bass Flute</t>
  </si>
  <si>
    <t>Javanese</t>
  </si>
  <si>
    <t>Iberia</t>
  </si>
  <si>
    <t>|Cantautores|Spanish Traditional|Spain|Spain-Asturias|Spain-Castillian|Spain-Galician|</t>
  </si>
  <si>
    <t>Choral</t>
  </si>
  <si>
    <t>Bass Guitar</t>
  </si>
  <si>
    <t>Kalaallisut</t>
  </si>
  <si>
    <t>Indonesian Religious</t>
  </si>
  <si>
    <t>Choro</t>
  </si>
  <si>
    <t>Bass Harmonica</t>
  </si>
  <si>
    <t>Kannada</t>
  </si>
  <si>
    <t>Israeli</t>
  </si>
  <si>
    <t>Bass Oboe</t>
  </si>
  <si>
    <t>Kanuri</t>
  </si>
  <si>
    <t>Japan</t>
  </si>
  <si>
    <t>|J-Rock|Japan Anime|Japan Dance/Electronic|Japan Hip-Hop/Rap|Japanese Pop|Japan Rock|</t>
  </si>
  <si>
    <t>Christian Metal</t>
  </si>
  <si>
    <t>Bass Recorder</t>
  </si>
  <si>
    <t>Kashmiri</t>
  </si>
  <si>
    <t>Klezmer</t>
  </si>
  <si>
    <t>|Jewish Folk|</t>
  </si>
  <si>
    <t>Christian Pop</t>
  </si>
  <si>
    <t>Bass Saxaphone</t>
  </si>
  <si>
    <t>Kazakh</t>
  </si>
  <si>
    <t>North America</t>
  </si>
  <si>
    <t>|Native American|</t>
  </si>
  <si>
    <t>Christian Rap</t>
  </si>
  <si>
    <t>Bass Trombone</t>
  </si>
  <si>
    <t>Kikuyu</t>
  </si>
  <si>
    <t>Polka</t>
  </si>
  <si>
    <t>Christian Rock</t>
  </si>
  <si>
    <t>Bass Trumpet</t>
  </si>
  <si>
    <t>Kinyarwanda</t>
  </si>
  <si>
    <t>Russian</t>
  </si>
  <si>
    <t>|Russian Alternative|Russian Banner Singing|Russian Bard Songs|Russian Church Choir Singing|Russian Estrada|Russian Folk|Russian Folk-Chastooshkas|Russian Folk-Cossack's singing|Russian Folk-Cossack’s singing|Russian Folk-Cossacks' chorus singing|Russian Folk-Cossacks’ chorus singing|Russian Folk-Feast songs|Russian Folk-Russian gypsy songs|Russian Folk-Russian humour|Russian Folk-Russian romances|Russian Folk-Weeping|Russian Great Patronimic War Songs|Russian Hard-rock|Russian Military Marches|Russian Military Songs|Russian National Music|Russian Opera|Russian Pop|Russian Revolution Songs|Russian Rock|Russian Symphonic|Russian WWI Songs|Soviet Times Songs|</t>
  </si>
  <si>
    <t>Christmas</t>
  </si>
  <si>
    <t>Bass Vocals</t>
  </si>
  <si>
    <t>Kirghiz</t>
  </si>
  <si>
    <t>Russian Chanson</t>
  </si>
  <si>
    <t>|Shanson|</t>
  </si>
  <si>
    <t>Christmas: Children's</t>
  </si>
  <si>
    <t>Basset Clarinet</t>
  </si>
  <si>
    <t>Komi</t>
  </si>
  <si>
    <t>Sanat</t>
  </si>
  <si>
    <t>Christmas: Classic</t>
  </si>
  <si>
    <t>Basset Horn</t>
  </si>
  <si>
    <t>Kongo</t>
  </si>
  <si>
    <t>Soca</t>
  </si>
  <si>
    <t>Christmas: Classical</t>
  </si>
  <si>
    <t>Bassoon</t>
  </si>
  <si>
    <t>Konkani</t>
  </si>
  <si>
    <t>South Africa</t>
  </si>
  <si>
    <t>Christmas: Country</t>
  </si>
  <si>
    <t>Batá Drums</t>
  </si>
  <si>
    <t>South America</t>
  </si>
  <si>
    <t>|Mexico|Peru|South American|</t>
  </si>
  <si>
    <t>Christmas: Jazz</t>
  </si>
  <si>
    <t>Beat Boxing</t>
  </si>
  <si>
    <t>Tango</t>
  </si>
  <si>
    <t>|Flamenco/Tango|</t>
  </si>
  <si>
    <t>Christmas: Modern</t>
  </si>
  <si>
    <t>Bells</t>
  </si>
  <si>
    <t>Kuanyama</t>
  </si>
  <si>
    <t>Traditional Celtic</t>
  </si>
  <si>
    <t>Christmas: Pop</t>
  </si>
  <si>
    <t>Bendir</t>
  </si>
  <si>
    <t>Kurdish</t>
  </si>
  <si>
    <t>Worldbeat</t>
  </si>
  <si>
    <t>Christmas: R&amp;B</t>
  </si>
  <si>
    <t>Berimbau</t>
  </si>
  <si>
    <t>Lao</t>
  </si>
  <si>
    <t>Zydeco</t>
  </si>
  <si>
    <t>|Cajun &amp; Zydeco|</t>
  </si>
  <si>
    <t>Christmas: Religious</t>
  </si>
  <si>
    <t>Biwa</t>
  </si>
  <si>
    <t>|Break Beat|Breaks|</t>
  </si>
  <si>
    <t>Christmas: Rock</t>
  </si>
  <si>
    <t>Bonang</t>
  </si>
  <si>
    <t>Latvian</t>
  </si>
  <si>
    <t>Garage</t>
  </si>
  <si>
    <t>|2-Step/British Garage|UK Garage|</t>
  </si>
  <si>
    <t>Classic Blues</t>
  </si>
  <si>
    <t>Bongos</t>
  </si>
  <si>
    <t>Limburgan</t>
  </si>
  <si>
    <t>Hardcore</t>
  </si>
  <si>
    <t>|Happy Hardcore|Hi-NRG|</t>
  </si>
  <si>
    <t>Classic Christian</t>
  </si>
  <si>
    <t>Bouzouki</t>
  </si>
  <si>
    <t>Lingala</t>
  </si>
  <si>
    <t>House</t>
  </si>
  <si>
    <t>|Deep House|Hard House|Tech-House|Tribal House|</t>
  </si>
  <si>
    <t>Bugle</t>
  </si>
  <si>
    <t>Lithuanian</t>
  </si>
  <si>
    <t>Jungle/Drum'n'bass</t>
  </si>
  <si>
    <t>|Drum'n'Bass/Jungle|Drum‘n’Bass/Jungle|Jungle/Drum&amp;Bass|</t>
  </si>
  <si>
    <t>Button Accordion</t>
  </si>
  <si>
    <t>Luba-Katanga</t>
  </si>
  <si>
    <t>Techno</t>
  </si>
  <si>
    <t>|Hard Techno|Minimal Techno|Techno Clash|Techno Dark|Techno Dub|Teknobody|</t>
  </si>
  <si>
    <t>Classical Crossover</t>
  </si>
  <si>
    <t>Cajon</t>
  </si>
  <si>
    <t>Luxembourgish</t>
  </si>
  <si>
    <t>Trance</t>
  </si>
  <si>
    <t>Classical Era</t>
  </si>
  <si>
    <t>Calliope</t>
  </si>
  <si>
    <t>Macedonian</t>
  </si>
  <si>
    <t>|Rock en Espa|Rock En Espanol|Alternativo &amp; Rock Latino|Latin Alternative|Rock Latino|</t>
  </si>
  <si>
    <t>College Rock</t>
  </si>
  <si>
    <t>Castanets</t>
  </si>
  <si>
    <t>Malagasy</t>
  </si>
  <si>
    <t>Cavaquinho</t>
  </si>
  <si>
    <t>Malay</t>
  </si>
  <si>
    <t>Contemporary Latin</t>
  </si>
  <si>
    <t>Contemporary Bluegrass</t>
  </si>
  <si>
    <t>Caxixi</t>
  </si>
  <si>
    <t>Malayalam</t>
  </si>
  <si>
    <t>Latin Jazz</t>
  </si>
  <si>
    <t>Contemporary Blues</t>
  </si>
  <si>
    <t>Celeste</t>
  </si>
  <si>
    <t>Maltese</t>
  </si>
  <si>
    <t>Pop in Spanish</t>
  </si>
  <si>
    <t>|Latin Pop|Pop Latino|Pop Rock Latino|</t>
  </si>
  <si>
    <t>Manx</t>
  </si>
  <si>
    <t>Raices</t>
  </si>
  <si>
    <t>|Raíces|</t>
  </si>
  <si>
    <t>Contemporary Country</t>
  </si>
  <si>
    <t>Chamber Organ</t>
  </si>
  <si>
    <t>Maori</t>
  </si>
  <si>
    <t>Reggaeton / Latin Urban</t>
  </si>
  <si>
    <t>|Reggaeton|Reggaeton y Hip-Hop|</t>
  </si>
  <si>
    <t>Contemporary Era</t>
  </si>
  <si>
    <t>Chamberlin</t>
  </si>
  <si>
    <t>Marathi</t>
  </si>
  <si>
    <t>Regional Mexicano</t>
  </si>
  <si>
    <t>|Regional Mexican|</t>
  </si>
  <si>
    <t>Chant Vocals</t>
  </si>
  <si>
    <t>Marshallese</t>
  </si>
  <si>
    <t>Salsa y Tropical</t>
  </si>
  <si>
    <t>|Salsa|</t>
  </si>
  <si>
    <t>Contemporary Gospel</t>
  </si>
  <si>
    <t>Chapman Stick</t>
  </si>
  <si>
    <t>Mongolian</t>
  </si>
  <si>
    <t>Healing</t>
  </si>
  <si>
    <t>Contemporary Jazz</t>
  </si>
  <si>
    <t>Charango</t>
  </si>
  <si>
    <t>Nauru</t>
  </si>
  <si>
    <t>Meditation</t>
  </si>
  <si>
    <t>|Meditation/Relaxation|</t>
  </si>
  <si>
    <t>Chekere</t>
  </si>
  <si>
    <t>Navajo</t>
  </si>
  <si>
    <t>Nature</t>
  </si>
  <si>
    <t>|Environmental|Nature Sounds|</t>
  </si>
  <si>
    <t>Contemporary R&amp;B</t>
  </si>
  <si>
    <t>Chimes</t>
  </si>
  <si>
    <t>Ndonga</t>
  </si>
  <si>
    <t>Relaxation</t>
  </si>
  <si>
    <t>Choir</t>
  </si>
  <si>
    <t>Nepali</t>
  </si>
  <si>
    <t>Travel</t>
  </si>
  <si>
    <t>|World|</t>
  </si>
  <si>
    <t>Cool</t>
  </si>
  <si>
    <t>Choir Conductor</t>
  </si>
  <si>
    <t>North Ndebele</t>
  </si>
  <si>
    <t>Yoga</t>
  </si>
  <si>
    <t>Chorus Master</t>
  </si>
  <si>
    <t>Northern Sami</t>
  </si>
  <si>
    <t>|Hanukkah|</t>
  </si>
  <si>
    <t>Country Blues</t>
  </si>
  <si>
    <t>Chromatic Harmonica</t>
  </si>
  <si>
    <t>Norwegian</t>
  </si>
  <si>
    <t>Country Gospel</t>
  </si>
  <si>
    <t>Cimbalom</t>
  </si>
  <si>
    <t>Norwegian Bokmål</t>
  </si>
  <si>
    <t>Coupé-Décalé</t>
  </si>
  <si>
    <t>Cittern</t>
  </si>
  <si>
    <t>Norwegian Nynorsk</t>
  </si>
  <si>
    <t>Crossover Jazz</t>
  </si>
  <si>
    <t>Clarinet</t>
  </si>
  <si>
    <t>Occitan</t>
  </si>
  <si>
    <t>Classical Guitar</t>
  </si>
  <si>
    <t>Ojibwa</t>
  </si>
  <si>
    <t>Cumbia</t>
  </si>
  <si>
    <t>Claves</t>
  </si>
  <si>
    <t>Oriya</t>
  </si>
  <si>
    <t>Dabke</t>
  </si>
  <si>
    <t>Clavichord</t>
  </si>
  <si>
    <t>Oromo</t>
  </si>
  <si>
    <t>Clavinet</t>
  </si>
  <si>
    <t>C-Melody Sax</t>
  </si>
  <si>
    <t>Ossetian</t>
  </si>
  <si>
    <t>Concert Harp</t>
  </si>
  <si>
    <t>Pali</t>
  </si>
  <si>
    <t>Delta Blues</t>
  </si>
  <si>
    <t>Concertina</t>
  </si>
  <si>
    <t>Pashto</t>
  </si>
  <si>
    <t>Easter</t>
  </si>
  <si>
    <t>Devotional &amp; Spiritual</t>
  </si>
  <si>
    <t>Conch Shells</t>
  </si>
  <si>
    <t>Persian</t>
  </si>
  <si>
    <t>Halloween</t>
  </si>
  <si>
    <t>Congas</t>
  </si>
  <si>
    <t>Polish</t>
  </si>
  <si>
    <t>Thanksgiving</t>
  </si>
  <si>
    <t>Dirty South</t>
  </si>
  <si>
    <t>Contrabass</t>
  </si>
  <si>
    <t>Disco</t>
  </si>
  <si>
    <t>Contrabass Clarinet</t>
  </si>
  <si>
    <t>Punjabi</t>
  </si>
  <si>
    <t>Islamic</t>
  </si>
  <si>
    <t>Contrabass Flute</t>
  </si>
  <si>
    <t>Quechua</t>
  </si>
  <si>
    <t>Khaleeji</t>
  </si>
  <si>
    <t>Dixieland</t>
  </si>
  <si>
    <t>Contrabass Recorder</t>
  </si>
  <si>
    <t>Rajasthani</t>
  </si>
  <si>
    <t>North African</t>
  </si>
  <si>
    <t>Doo Wop</t>
  </si>
  <si>
    <t>Contrabass Sarrusophone</t>
  </si>
  <si>
    <t>|Avant Garde Jazz|</t>
  </si>
  <si>
    <t>Contrabass Saxophone</t>
  </si>
  <si>
    <t>Romanian</t>
  </si>
  <si>
    <t>Contrabass Trombone</t>
  </si>
  <si>
    <t>Romansh</t>
  </si>
  <si>
    <t>Contrabassoon</t>
  </si>
  <si>
    <t>Rundi</t>
  </si>
  <si>
    <t>EMO</t>
  </si>
  <si>
    <t>Contralto Clarinet</t>
  </si>
  <si>
    <t>Early Music</t>
  </si>
  <si>
    <t>Contralto Vocals</t>
  </si>
  <si>
    <t>Samoan</t>
  </si>
  <si>
    <t>|Cool Jazz|Cool/West Coast Jazz|</t>
  </si>
  <si>
    <t>East Coast Rap</t>
  </si>
  <si>
    <t>Cornet</t>
  </si>
  <si>
    <t>Sango</t>
  </si>
  <si>
    <t>|Crossover-Jazz|</t>
  </si>
  <si>
    <t>Counter Tenor</t>
  </si>
  <si>
    <t>Sanskrit</t>
  </si>
  <si>
    <t>Cowbell</t>
  </si>
  <si>
    <t>Sardinian</t>
  </si>
  <si>
    <t>Fusion</t>
  </si>
  <si>
    <t>|Afro-Cuban Jazz|World Fusion|</t>
  </si>
  <si>
    <t>Egyptian Hip-Hop</t>
  </si>
  <si>
    <t>Crotales</t>
  </si>
  <si>
    <t>Serbian</t>
  </si>
  <si>
    <t>Hard Bop</t>
  </si>
  <si>
    <t>Egyptian Pop</t>
  </si>
  <si>
    <t>Crumhorn</t>
  </si>
  <si>
    <t>Shona</t>
  </si>
  <si>
    <t>Egyptian Tarab</t>
  </si>
  <si>
    <t>Cuatro</t>
  </si>
  <si>
    <t>Sichuan Yi</t>
  </si>
  <si>
    <t>Mainstream Jazz</t>
  </si>
  <si>
    <t>|New Orleans Jazz|Orchestral Jazz|</t>
  </si>
  <si>
    <t>Electric Blues</t>
  </si>
  <si>
    <t>Cuesnophone</t>
  </si>
  <si>
    <t>Sindhi</t>
  </si>
  <si>
    <t>Ragtime</t>
  </si>
  <si>
    <t>Electro-Cha'abi</t>
  </si>
  <si>
    <t>Curtal</t>
  </si>
  <si>
    <t>Sinhala</t>
  </si>
  <si>
    <t>Smooth Jazz</t>
  </si>
  <si>
    <t>Cymbals</t>
  </si>
  <si>
    <t>Slovak</t>
  </si>
  <si>
    <t>Trad Jazz</t>
  </si>
  <si>
    <t>|Traditional Jazz|</t>
  </si>
  <si>
    <t>Daf</t>
  </si>
  <si>
    <t>Slovenian</t>
  </si>
  <si>
    <t>Lullabies</t>
  </si>
  <si>
    <t>Somali</t>
  </si>
  <si>
    <t>Sing-Along</t>
  </si>
  <si>
    <t>Dancer</t>
  </si>
  <si>
    <t>South Ndebele</t>
  </si>
  <si>
    <t>Stories</t>
  </si>
  <si>
    <t>Dhol</t>
  </si>
  <si>
    <t>Southern Sotho</t>
  </si>
  <si>
    <t>|Contemporary Urban|</t>
  </si>
  <si>
    <t>Diddley Bow</t>
  </si>
  <si>
    <t>Spanish</t>
  </si>
  <si>
    <t>|Disco (R&amp;B)|</t>
  </si>
  <si>
    <t>Fantezi</t>
  </si>
  <si>
    <t>Didgeridoo</t>
  </si>
  <si>
    <t>Spanish (Latin America)</t>
  </si>
  <si>
    <t>|Doo-Wop|</t>
  </si>
  <si>
    <t>Director</t>
  </si>
  <si>
    <t>Sundanese</t>
  </si>
  <si>
    <t>Funk</t>
  </si>
  <si>
    <t>|Deep Funk|</t>
  </si>
  <si>
    <t>Film Soundtrack</t>
  </si>
  <si>
    <t>DJ</t>
  </si>
  <si>
    <t>Swahili</t>
  </si>
  <si>
    <t>Motown</t>
  </si>
  <si>
    <t>Djembe</t>
  </si>
  <si>
    <t>Swati</t>
  </si>
  <si>
    <t>Neo-Soul</t>
  </si>
  <si>
    <t>|Neo Soul|</t>
  </si>
  <si>
    <t>Dobro Guitar</t>
  </si>
  <si>
    <t>Swedish</t>
  </si>
  <si>
    <t>Soul</t>
  </si>
  <si>
    <t>|Blaxploitation|Blue-Eyed Soul|Brown-Eyed Soul|Chicago Soul|Classic Soul|Country-Soul|Deep Soul|Memphis Soul|Northern Soul|Philly Soul|Psychedelic Soul|Retro-Soul|Smooth Soul|Southern Soul|</t>
  </si>
  <si>
    <t>Double Bass</t>
  </si>
  <si>
    <t>Tagalog</t>
  </si>
  <si>
    <t>Doumbek</t>
  </si>
  <si>
    <t>Tahitian</t>
  </si>
  <si>
    <t>Foreign Cinema</t>
  </si>
  <si>
    <t>Drum Machine</t>
  </si>
  <si>
    <t>Tajik</t>
  </si>
  <si>
    <t>Goth Rock</t>
  </si>
  <si>
    <t>|Goth/Industrial|</t>
  </si>
  <si>
    <t>Forró</t>
  </si>
  <si>
    <t>Drum Programming</t>
  </si>
  <si>
    <t>Tamil</t>
  </si>
  <si>
    <t>Grunge</t>
  </si>
  <si>
    <t>Drums</t>
  </si>
  <si>
    <t>Tatar</t>
  </si>
  <si>
    <t>Indie Pop</t>
  </si>
  <si>
    <t>|Indie-Pop|</t>
  </si>
  <si>
    <t>Duduk</t>
  </si>
  <si>
    <t>Telugu</t>
  </si>
  <si>
    <t>|Alternative/Indie|Indie|</t>
  </si>
  <si>
    <t>Frevo</t>
  </si>
  <si>
    <t>Dulcimer</t>
  </si>
  <si>
    <t>Thai</t>
  </si>
  <si>
    <t>New Wave</t>
  </si>
  <si>
    <t>|New Wave/Post-Punk|</t>
  </si>
  <si>
    <t>E-Bow</t>
  </si>
  <si>
    <t>Tibetan</t>
  </si>
  <si>
    <t>Pop Punk</t>
  </si>
  <si>
    <t>Effects</t>
  </si>
  <si>
    <t>Tigrinya</t>
  </si>
  <si>
    <t>Punk</t>
  </si>
  <si>
    <t>|Alt/Punk Ska|American Punk|Anarchist|Brit-Punk|British Punk|Cowpunk|Digital Hardcore|Emo/Hardcore|Garage Punk|Hardcore|Hardcore Punk|International Punk|L.A. Punk|Live Alt/Punk|New York Punk|No Wave|Oi!|Oil|Pop-Punk|Post-Grunge|Post-Hardcore|Post-Punk|Punkabilly|Queencore|Queercore|Rapcore|Riot Girl|Ska-Punk|Skate-Punk|Skatepunk|Straight Edge|</t>
  </si>
  <si>
    <t>Gangsta Rap</t>
  </si>
  <si>
    <t>Electric Bass Guitar</t>
  </si>
  <si>
    <t>Tonga</t>
  </si>
  <si>
    <t>|Acoustic/Folk Blues|</t>
  </si>
  <si>
    <t>Electric Cello</t>
  </si>
  <si>
    <t>Tsonga</t>
  </si>
  <si>
    <t>Electric Fretless Guitar</t>
  </si>
  <si>
    <t>Tswana</t>
  </si>
  <si>
    <t>Electric Guitar</t>
  </si>
  <si>
    <t>Ghazals</t>
  </si>
  <si>
    <t>Electric Piano</t>
  </si>
  <si>
    <t>Turkmen</t>
  </si>
  <si>
    <t>Electric Sitar</t>
  </si>
  <si>
    <t>Twi</t>
  </si>
  <si>
    <t>|Dirty Blues|Louisiana Blues|Memphis Blues|Swamp Blues|</t>
  </si>
  <si>
    <t>Gospel</t>
  </si>
  <si>
    <t>Electric Upright Bass</t>
  </si>
  <si>
    <t>Uighur</t>
  </si>
  <si>
    <t>Electric Viola</t>
  </si>
  <si>
    <t>Ukrainian</t>
  </si>
  <si>
    <t>|Ax|Axe|Brazilian Ax|Brazilian Axe|Brazilian-Ax|Brazilian-Axe|</t>
  </si>
  <si>
    <t>Gqom</t>
  </si>
  <si>
    <t>Electric Violin</t>
  </si>
  <si>
    <t>Urdu</t>
  </si>
  <si>
    <t>|Brazilian Baiao|Brazilian-Baile|Brazilian Baile|Brazilian-Baiao|Brazilian Funk|Brazilian Funk Carioca|Brazilian-Funk Carioca|</t>
  </si>
  <si>
    <t>Electronic Valve Instrument</t>
  </si>
  <si>
    <t>Uzbek</t>
  </si>
  <si>
    <t>|Brazilian-Bossa Nova|</t>
  </si>
  <si>
    <t>Guajira</t>
  </si>
  <si>
    <t>Electronic Wind Instrument</t>
  </si>
  <si>
    <t>Venda</t>
  </si>
  <si>
    <t>|Brazilian Choro|Brazilian-Choro|Choro|</t>
  </si>
  <si>
    <t>Guaracha</t>
  </si>
  <si>
    <t>English Horn</t>
  </si>
  <si>
    <t>Vietnamese</t>
  </si>
  <si>
    <t>|Brazilian Forr|Brazilian-Forr|Brazilian Forro|Brazilian-Forro|Forr|Forro|</t>
  </si>
  <si>
    <t>Guitar</t>
  </si>
  <si>
    <t>Euphonium</t>
  </si>
  <si>
    <t>Volapük</t>
  </si>
  <si>
    <t>Farfisa</t>
  </si>
  <si>
    <t>Walloon</t>
  </si>
  <si>
    <t>MPB</t>
  </si>
  <si>
    <t>|Brazilian MPB|Brazilian-MPB|MPB|Musica Popular Brasileira (MPB)|</t>
  </si>
  <si>
    <t>Fender Rhodes</t>
  </si>
  <si>
    <t>Welsh</t>
  </si>
  <si>
    <t>Pagode</t>
  </si>
  <si>
    <t>Fiddle</t>
  </si>
  <si>
    <t>Western Frisian</t>
  </si>
  <si>
    <t>Samba</t>
  </si>
  <si>
    <t>|Brazilian Samba/Pagode|Brazilian-Samba/Pagode|Samba Rock|</t>
  </si>
  <si>
    <t>Fife</t>
  </si>
  <si>
    <t>Wolof</t>
  </si>
  <si>
    <t>Sertanejo</t>
  </si>
  <si>
    <t>|Brazilian Sertaneja|Brazilian-Sertaneja|</t>
  </si>
  <si>
    <t>Finger Cymbals</t>
  </si>
  <si>
    <t>Xhosa</t>
  </si>
  <si>
    <t>C-Pop</t>
  </si>
  <si>
    <t>|Chinese Pop|Chinese-Pop|</t>
  </si>
  <si>
    <t>Finger Snaps</t>
  </si>
  <si>
    <t>Yiddish</t>
  </si>
  <si>
    <t>|Cantopop/HK-Pop|Cantopop / HK-Pop|Cantopop / HK Pop|Cantopop/HK Pop|</t>
  </si>
  <si>
    <t>First Cello</t>
  </si>
  <si>
    <t>Yoruba</t>
  </si>
  <si>
    <t>|Chinese Alternative|</t>
  </si>
  <si>
    <t>Hardcore Rap</t>
  </si>
  <si>
    <t>First Violin</t>
  </si>
  <si>
    <t>Zhuang</t>
  </si>
  <si>
    <t>Flamenco Guitar</t>
  </si>
  <si>
    <t>Zulu</t>
  </si>
  <si>
    <t>Flugelhorn</t>
  </si>
  <si>
    <t>Flute</t>
  </si>
  <si>
    <t>|Chinese Traditional Opera|Chinese Local Opera|Peking Opera|Local Opera|Traditional Opera|</t>
  </si>
  <si>
    <t>Fortepiano</t>
  </si>
  <si>
    <t>Highlife</t>
  </si>
  <si>
    <t>Frame Drum</t>
  </si>
  <si>
    <t>|Chinese Folk|</t>
  </si>
  <si>
    <t>Hindustani Classical</t>
  </si>
  <si>
    <t>French Horn</t>
  </si>
  <si>
    <t>Gendèr</t>
  </si>
  <si>
    <t>Hip-Hop</t>
  </si>
  <si>
    <t>Ghatam</t>
  </si>
  <si>
    <t>Taiwanese Folk</t>
  </si>
  <si>
    <t>Gitern</t>
  </si>
  <si>
    <t>Tibetan Native Music</t>
  </si>
  <si>
    <t>Honky Tonk</t>
  </si>
  <si>
    <t>Glockenspiel</t>
  </si>
  <si>
    <t>|Alternative CCM|</t>
  </si>
  <si>
    <t>Gong</t>
  </si>
  <si>
    <t>Hörspiele</t>
  </si>
  <si>
    <t>Group</t>
  </si>
  <si>
    <t>Guest Vocals</t>
  </si>
  <si>
    <t>Güiro</t>
  </si>
  <si>
    <t>|Christian Punk|</t>
  </si>
  <si>
    <t>Impressionist</t>
  </si>
  <si>
    <t>Hag'houge</t>
  </si>
  <si>
    <t>Hammered Dulcimer</t>
  </si>
  <si>
    <t>|Gospel Choir|Instrumental Gospel|</t>
  </si>
  <si>
    <t>Indian Folk</t>
  </si>
  <si>
    <t>Hammond Organ</t>
  </si>
  <si>
    <t>Praise &amp; Worship</t>
  </si>
  <si>
    <t>Indian Pop</t>
  </si>
  <si>
    <t>Handclaps</t>
  </si>
  <si>
    <t>Southern Gospel</t>
  </si>
  <si>
    <t>Indie Egyptian</t>
  </si>
  <si>
    <t>Hardingfele</t>
  </si>
  <si>
    <t>Traditional Gospel</t>
  </si>
  <si>
    <t>Indie Levant</t>
  </si>
  <si>
    <t>Harmonica</t>
  </si>
  <si>
    <t>Indie Maghreb</t>
  </si>
  <si>
    <t>Harmonium</t>
  </si>
  <si>
    <t>|Avant Garde|</t>
  </si>
  <si>
    <t>Harmony Vocals</t>
  </si>
  <si>
    <t>|Pre-Baroque|Baroque|</t>
  </si>
  <si>
    <t>Harp</t>
  </si>
  <si>
    <t>Harpsichord</t>
  </si>
  <si>
    <t>Horn Section</t>
  </si>
  <si>
    <t>Horns</t>
  </si>
  <si>
    <t>Hurdy Gurdy</t>
  </si>
  <si>
    <t>|Classical Vocal|Lieder|Vocal Classics|</t>
  </si>
  <si>
    <t>Kalimba</t>
  </si>
  <si>
    <t>|Choral Music|</t>
  </si>
  <si>
    <t>Iraqi Folk</t>
  </si>
  <si>
    <t>Karkaba (Metal Castanets)</t>
  </si>
  <si>
    <t>Iraqi Pop</t>
  </si>
  <si>
    <t>Kazoo</t>
  </si>
  <si>
    <t>Iraqi Tarab</t>
  </si>
  <si>
    <t>Kendang</t>
  </si>
  <si>
    <t>Kenong/Kethuk</t>
  </si>
  <si>
    <t>Keyboard Bass</t>
  </si>
  <si>
    <t>Keyboards</t>
  </si>
  <si>
    <t>|Classical Guitar|</t>
  </si>
  <si>
    <t>Keytar</t>
  </si>
  <si>
    <t>Kora</t>
  </si>
  <si>
    <t>Medieval Era</t>
  </si>
  <si>
    <t>|Medieval|Gregorian|</t>
  </si>
  <si>
    <t>Koto</t>
  </si>
  <si>
    <t>Minimalism</t>
  </si>
  <si>
    <t>Lap Steel Guitar</t>
  </si>
  <si>
    <t>Modern Era</t>
  </si>
  <si>
    <t>|Keyboard Music|Modern Classical|Postmodern Classical|Modern Composition|</t>
  </si>
  <si>
    <t>K-Pop</t>
  </si>
  <si>
    <t>Lead Guitar</t>
  </si>
  <si>
    <t>Lead Violin</t>
  </si>
  <si>
    <t>Oratorio</t>
  </si>
  <si>
    <t>Lead Vocals</t>
  </si>
  <si>
    <t>|Orchestra|</t>
  </si>
  <si>
    <t>Low Whistle</t>
  </si>
  <si>
    <t>Percussion</t>
  </si>
  <si>
    <t>Lute</t>
  </si>
  <si>
    <t>Piano</t>
  </si>
  <si>
    <t>Khaleeji Folk</t>
  </si>
  <si>
    <t>Lyricon</t>
  </si>
  <si>
    <t>Renaissance</t>
  </si>
  <si>
    <t>|Medieval/Renaissance|</t>
  </si>
  <si>
    <t>Khaleeji Hip-Hop</t>
  </si>
  <si>
    <t>Mandocello</t>
  </si>
  <si>
    <t>Romantic Era</t>
  </si>
  <si>
    <t>|Romantic|</t>
  </si>
  <si>
    <t>Khaleeji Jalsat</t>
  </si>
  <si>
    <t>Mandola</t>
  </si>
  <si>
    <t>Sacred</t>
  </si>
  <si>
    <t>Khaleeji Pop</t>
  </si>
  <si>
    <t>Mandolin</t>
  </si>
  <si>
    <t>Solo Instrumental</t>
  </si>
  <si>
    <t>Khaleeji Shailat</t>
  </si>
  <si>
    <t>Manzello</t>
  </si>
  <si>
    <t>Violin</t>
  </si>
  <si>
    <t>Khaleeji Tarab</t>
  </si>
  <si>
    <t>Maracas</t>
  </si>
  <si>
    <t>Wedding Music</t>
  </si>
  <si>
    <t>Kizomba</t>
  </si>
  <si>
    <t>Marimba</t>
  </si>
  <si>
    <t>Novelty</t>
  </si>
  <si>
    <t>MC</t>
  </si>
  <si>
    <t>Standup Comedy</t>
  </si>
  <si>
    <t>Mellophone</t>
  </si>
  <si>
    <t>|Alt. Country|Alt Country|</t>
  </si>
  <si>
    <t>Korean Folk-Pop</t>
  </si>
  <si>
    <t>Mellophonium</t>
  </si>
  <si>
    <t>Korean Hip-Hop</t>
  </si>
  <si>
    <t>Mellotron</t>
  </si>
  <si>
    <t>Korean Indie</t>
  </si>
  <si>
    <t>Melodica</t>
  </si>
  <si>
    <t>Korean Rock</t>
  </si>
  <si>
    <t>Mezzo-soprano Vocals</t>
  </si>
  <si>
    <t>|Modern Country|Progressive Country|</t>
  </si>
  <si>
    <t>Korean Traditional</t>
  </si>
  <si>
    <t>Modular Synth</t>
  </si>
  <si>
    <t>Kuduro</t>
  </si>
  <si>
    <t>Mouth Organ</t>
  </si>
  <si>
    <t>Kwaito</t>
  </si>
  <si>
    <t>Mridangam</t>
  </si>
  <si>
    <t>Outlaw Country</t>
  </si>
  <si>
    <t>|Outlaw|</t>
  </si>
  <si>
    <t>Musette</t>
  </si>
  <si>
    <t>Thai Country</t>
  </si>
  <si>
    <t>Narrator</t>
  </si>
  <si>
    <t>Traditional Bluegrass</t>
  </si>
  <si>
    <t>Ney</t>
  </si>
  <si>
    <t>Traditional Country</t>
  </si>
  <si>
    <t>Latin Rap</t>
  </si>
  <si>
    <t>Noises</t>
  </si>
  <si>
    <t>Urban Cowboy</t>
  </si>
  <si>
    <t>|Cowboy|</t>
  </si>
  <si>
    <t>Levant</t>
  </si>
  <si>
    <t>Nylon-String Guitar</t>
  </si>
  <si>
    <t>Levant Electronic</t>
  </si>
  <si>
    <t>Oboe</t>
  </si>
  <si>
    <t>|Dirty South/Crunk|</t>
  </si>
  <si>
    <t>Levant Hip-Hop</t>
  </si>
  <si>
    <t>Oboe D'Amore</t>
  </si>
  <si>
    <t>|East Coast|East Coast Hip-Hop|</t>
  </si>
  <si>
    <t>Levant Pop</t>
  </si>
  <si>
    <t>Ocarina</t>
  </si>
  <si>
    <t>|Gangsta|</t>
  </si>
  <si>
    <t>Lounge</t>
  </si>
  <si>
    <t>Omnichord</t>
  </si>
  <si>
    <t>Ondes Martenot</t>
  </si>
  <si>
    <t>|Hip-Hop 12-inches|Live Urban/Hip-Hop|</t>
  </si>
  <si>
    <t>Organ</t>
  </si>
  <si>
    <t>|Hip-Hop En Espanol|</t>
  </si>
  <si>
    <t>Oud</t>
  </si>
  <si>
    <t>Old School Rap</t>
  </si>
  <si>
    <t>|Old School Hip-Hop|</t>
  </si>
  <si>
    <t>Maghreb Dance</t>
  </si>
  <si>
    <t>Pan Flute</t>
  </si>
  <si>
    <t>Rap</t>
  </si>
  <si>
    <t>|Party Rap|</t>
  </si>
  <si>
    <t>Maghreb Electronic</t>
  </si>
  <si>
    <t>Panpipes</t>
  </si>
  <si>
    <t>Turkish Hip-Hop/Rap</t>
  </si>
  <si>
    <t>Maghreb Hip-Hop</t>
  </si>
  <si>
    <t>Parlour Guitar</t>
  </si>
  <si>
    <t>UK Hip Hop</t>
  </si>
  <si>
    <t>Maghreb Pop</t>
  </si>
  <si>
    <t>Pedal Steel Guitar</t>
  </si>
  <si>
    <t>Underground Rap</t>
  </si>
  <si>
    <t>|Underground|</t>
  </si>
  <si>
    <t>Maghreb Rai</t>
  </si>
  <si>
    <t>Peking</t>
  </si>
  <si>
    <t>West Coast Rap</t>
  </si>
  <si>
    <t>|West Coast|West Coast Hip Hop|West Coast Hip-Hop|</t>
  </si>
  <si>
    <t>Penny Whistle</t>
  </si>
  <si>
    <t>|Indian Devotional/Spiritual|</t>
  </si>
  <si>
    <t>|Ghazal|Indian Ghazal|Indian-Ghazal|</t>
  </si>
  <si>
    <t>Mambo</t>
  </si>
  <si>
    <t>Piccolo</t>
  </si>
  <si>
    <t>Piccolo Bass</t>
  </si>
  <si>
    <t>|Indian-Pop|</t>
  </si>
  <si>
    <t>Piccolo Oboe</t>
  </si>
  <si>
    <t>Sufi</t>
  </si>
  <si>
    <t>Piccolo Trumpet</t>
  </si>
  <si>
    <t>|Indian Tamil|Indian Tamil Film|Indian-Tamil|Indian-Tamil Film|Tamil|Tamil Film|</t>
  </si>
  <si>
    <t>Pikasa Guitar</t>
  </si>
  <si>
    <t>|Indian Telegu|Indian Telegu Film|Indian-Telegu|Indian-Telegu Film|Telegu|Telegu Film|</t>
  </si>
  <si>
    <t>Maskandi</t>
  </si>
  <si>
    <t>Pipe Organ</t>
  </si>
  <si>
    <t>Mbalax</t>
  </si>
  <si>
    <t>Portuguese Guitar</t>
  </si>
  <si>
    <t>|Korean Folk|</t>
  </si>
  <si>
    <t>Prepared Piano</t>
  </si>
  <si>
    <t>Programmer</t>
  </si>
  <si>
    <t>|Korean Alternative/Indie|</t>
  </si>
  <si>
    <t>Merengue</t>
  </si>
  <si>
    <t>Psaltery</t>
  </si>
  <si>
    <t>|Korean Classical|Korean-Classical|Korean Traditional Music|Korean Trad Instrumental|Korean Trad Song|Korean Trad Theater|</t>
  </si>
  <si>
    <t>Rebab</t>
  </si>
  <si>
    <t>|Film Music|Film Scores|Film Soundtracks|</t>
  </si>
  <si>
    <t>Rebec</t>
  </si>
  <si>
    <t>|Theatre Scores|</t>
  </si>
  <si>
    <t>Musicals</t>
  </si>
  <si>
    <t>Recorder</t>
  </si>
  <si>
    <t>|Musical Theatre|</t>
  </si>
  <si>
    <t>Reed Organ</t>
  </si>
  <si>
    <t>Original Score</t>
  </si>
  <si>
    <t>Ndombolo</t>
  </si>
  <si>
    <t>Requinto Guitar</t>
  </si>
  <si>
    <t>Sound Effects</t>
  </si>
  <si>
    <t>Rhodes Piano</t>
  </si>
  <si>
    <t>TV Soundtrack</t>
  </si>
  <si>
    <t>|TV Soundtracks|</t>
  </si>
  <si>
    <t>Rhythm Guitar</t>
  </si>
  <si>
    <t>Video Game</t>
  </si>
  <si>
    <t>Sackbut</t>
  </si>
  <si>
    <t>Standards</t>
  </si>
  <si>
    <t>|Vocal/Nostalgia|</t>
  </si>
  <si>
    <t>Sampler</t>
  </si>
  <si>
    <t>Traditional Pop</t>
  </si>
  <si>
    <t>Santoor</t>
  </si>
  <si>
    <t>Trot</t>
  </si>
  <si>
    <t>Santur</t>
  </si>
  <si>
    <t>Vocal Jazz</t>
  </si>
  <si>
    <t>Sarangi</t>
  </si>
  <si>
    <t>Vocal Pop</t>
  </si>
  <si>
    <t>Odia</t>
  </si>
  <si>
    <t>Sarod</t>
  </si>
  <si>
    <t>Saron</t>
  </si>
  <si>
    <t>Swing</t>
  </si>
  <si>
    <t>Sarrusophone</t>
  </si>
  <si>
    <t>|Indian Carnatic Classical|Indian-Carnatic Classical|</t>
  </si>
  <si>
    <t>Saxello</t>
  </si>
  <si>
    <t>|Indian Hindustani Classical|Indian-Hindustani Classical|</t>
  </si>
  <si>
    <t>Saxophone</t>
  </si>
  <si>
    <t>|Assamese Film|Indian Assamese|Indian Assamese Film|Indian-Assamese|Indian-Assamese Film|</t>
  </si>
  <si>
    <t>Saz</t>
  </si>
  <si>
    <t>|Bengali Film|Indian Bengali|Indian Bengali Film|Indian-Bengali|Indian-Bengali Film|</t>
  </si>
  <si>
    <t>Second Cello</t>
  </si>
  <si>
    <t>|Punjabi Punjabi Pop|Punjabi-Punjabi Pop|Regional Indian Punjabi Pop|Regional Indian-Punjabi Pop|Indian Punjabi Pop|Indian-Punjabi Pop|</t>
  </si>
  <si>
    <t>Second Soprano Vocals</t>
  </si>
  <si>
    <t>|Gujarati Film|Gujurati|Gujurati Film|Indian Gujarati|Indian Gujarati Film|Indian Gujurati|Indian Gujurati Film|Indian-Gujarati|Indian-Gujarati Film|Indian-Gujurati|Indian-Gujurati Film|</t>
  </si>
  <si>
    <t>Second Violin</t>
  </si>
  <si>
    <t>Serpent</t>
  </si>
  <si>
    <t>|Kannada Film|Indian Kannada|Indian Kannada Film|Indian-Kannada|Indian-Kannada Film|</t>
  </si>
  <si>
    <t>Shakers</t>
  </si>
  <si>
    <t>|Indian Malayalam|Indian Malayalam Film|Indian-Malayalam|Indian-Malayalam Film|Malayalam Film|</t>
  </si>
  <si>
    <t>Shakuhachi</t>
  </si>
  <si>
    <t>|Indian Marathi|Indian Marathi Film|Indian-Marathi|Indian-Marathi Film|Marathi Film|</t>
  </si>
  <si>
    <t>Shawm</t>
  </si>
  <si>
    <t>Shekere</t>
  </si>
  <si>
    <t>|Indian Punjabi|Indian Punjabi Film|Indian-Punjabi|Indian-Punjabi Film|Punjabi Film|</t>
  </si>
  <si>
    <t>Shenai</t>
  </si>
  <si>
    <t>Punjabi Pop</t>
  </si>
  <si>
    <t>Sitar</t>
  </si>
  <si>
    <t>Rabindra Sangeet</t>
  </si>
  <si>
    <t>|Bengali Rabindra Sangeet|Bengali-Rabindra Sangeet|Regional Indian Rabindra Sangeet|Regional Indian-Rabindra Sangeet|Indian Rabindra Sangeet|Indian-Rabindra Sangeet|</t>
  </si>
  <si>
    <t>Sleigh Bells</t>
  </si>
  <si>
    <t>Slenthem</t>
  </si>
  <si>
    <t>Slide Guitar</t>
  </si>
  <si>
    <t>Slide Saxophone</t>
  </si>
  <si>
    <t>Slide Trumpet</t>
  </si>
  <si>
    <t>Slide Whistle</t>
  </si>
  <si>
    <t>Snare Drum</t>
  </si>
  <si>
    <t>Solo Flute</t>
  </si>
  <si>
    <t>Solo Guitar</t>
  </si>
  <si>
    <t>Sopranino Clarinet</t>
  </si>
  <si>
    <t>Sopranino Saxophone</t>
  </si>
  <si>
    <t>Soprano Clarinet</t>
  </si>
  <si>
    <t>Soprano Flute</t>
  </si>
  <si>
    <t>Soprano Recorder</t>
  </si>
  <si>
    <t>Soprano Saxophone</t>
  </si>
  <si>
    <t>Soprano Violin</t>
  </si>
  <si>
    <t>Soprano Vocals</t>
  </si>
  <si>
    <t>Shangaan Electro</t>
  </si>
  <si>
    <t>Sousaphone</t>
  </si>
  <si>
    <t>Soukous</t>
  </si>
  <si>
    <t>Spanish Guitar</t>
  </si>
  <si>
    <t>Taarab</t>
  </si>
  <si>
    <t>Spinet</t>
  </si>
  <si>
    <t>Zouglou</t>
  </si>
  <si>
    <t>Religious</t>
  </si>
  <si>
    <t>Spoken word</t>
  </si>
  <si>
    <t>Spoons</t>
  </si>
  <si>
    <t>Steel Drums</t>
  </si>
  <si>
    <t>Turkish Alternative</t>
  </si>
  <si>
    <t>String Bass</t>
  </si>
  <si>
    <t>Turkish Pop</t>
  </si>
  <si>
    <t>Strings</t>
  </si>
  <si>
    <t>Turkish Rock</t>
  </si>
  <si>
    <t>Strings Conductor</t>
  </si>
  <si>
    <t>Ozgün</t>
  </si>
  <si>
    <t>Stritch</t>
  </si>
  <si>
    <t>Surdo</t>
  </si>
  <si>
    <t>Synclavier</t>
  </si>
  <si>
    <t>Russian Bard</t>
  </si>
  <si>
    <t>Synthesizer</t>
  </si>
  <si>
    <t>Tabla</t>
  </si>
  <si>
    <t>Russian Hip-Hop</t>
  </si>
  <si>
    <t>Tabor Pipe</t>
  </si>
  <si>
    <t>Son</t>
  </si>
  <si>
    <t>Russian Pop</t>
  </si>
  <si>
    <t>Tack Piano</t>
  </si>
  <si>
    <t>Timba</t>
  </si>
  <si>
    <t>Russian Rock</t>
  </si>
  <si>
    <t>Talkbox</t>
  </si>
  <si>
    <t>Russian Romance</t>
  </si>
  <si>
    <t>Talking Drum</t>
  </si>
  <si>
    <t>Tamborim</t>
  </si>
  <si>
    <t>Tamboura</t>
  </si>
  <si>
    <t>Tambourine</t>
  </si>
  <si>
    <t>Tanpura</t>
  </si>
  <si>
    <t>Tarogato</t>
  </si>
  <si>
    <t>Temple Blocks</t>
  </si>
  <si>
    <t>Tenor Banjo</t>
  </si>
  <si>
    <t>Tenor Drum</t>
  </si>
  <si>
    <t>Tenor Guitar</t>
  </si>
  <si>
    <t>Tenor Horn</t>
  </si>
  <si>
    <t>Tenor Recorder</t>
  </si>
  <si>
    <t>Tenor Saxophone</t>
  </si>
  <si>
    <t>Tenor Trombone</t>
  </si>
  <si>
    <t>Tenor Violin</t>
  </si>
  <si>
    <t>Tenor Vocals</t>
  </si>
  <si>
    <t>Thavil</t>
  </si>
  <si>
    <t>Theorbo</t>
  </si>
  <si>
    <t>Theremin</t>
  </si>
  <si>
    <t>Timbales</t>
  </si>
  <si>
    <t>Timpani</t>
  </si>
  <si>
    <t>Tin Whistle</t>
  </si>
  <si>
    <t>Toy Piano</t>
  </si>
  <si>
    <t>Tres</t>
  </si>
  <si>
    <t>Triangle</t>
  </si>
  <si>
    <t>Trombone</t>
  </si>
  <si>
    <t>Trombonium</t>
  </si>
  <si>
    <t>Trumpet</t>
  </si>
  <si>
    <t>Tuba</t>
  </si>
  <si>
    <t>Tubular Bells</t>
  </si>
  <si>
    <t>Turntable</t>
  </si>
  <si>
    <t>Udu</t>
  </si>
  <si>
    <t>Uilleann Pipes</t>
  </si>
  <si>
    <t>Ukulele</t>
  </si>
  <si>
    <t>Upright Piano</t>
  </si>
  <si>
    <t>Valve Trombone</t>
  </si>
  <si>
    <t>Veena</t>
  </si>
  <si>
    <t>Vibraphone</t>
  </si>
  <si>
    <t>Tarab</t>
  </si>
  <si>
    <t>Vibraslap</t>
  </si>
  <si>
    <t>Vielle</t>
  </si>
  <si>
    <t>Viol</t>
  </si>
  <si>
    <t>Viola</t>
  </si>
  <si>
    <t>Viola Da Gamba</t>
  </si>
  <si>
    <t>Violoncello</t>
  </si>
  <si>
    <t>Vocals</t>
  </si>
  <si>
    <t>Vocoder</t>
  </si>
  <si>
    <t>Washboard</t>
  </si>
  <si>
    <t>Whistle</t>
  </si>
  <si>
    <t>Wood Block</t>
  </si>
  <si>
    <t>Wood Flute</t>
  </si>
  <si>
    <t>Wurlitzer</t>
  </si>
  <si>
    <t>Xylophone</t>
  </si>
  <si>
    <t>Zarb</t>
  </si>
  <si>
    <t>Zither</t>
  </si>
  <si>
    <t>Özgün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</si>
</sst>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yyyy-mm-dd"/>
    <numFmt numFmtId="166" formatCode="yyyy&quot;-&quot;mm&quot;-&quot;dd"/>
    <numFmt numFmtId="167" formatCode="yyyy-mm"/>
  </numFmts>
  <fonts count="55">
    <font>
      <sz val="10.0"/>
      <color rgb="FF000000"/>
      <name val="Arial"/>
      <scheme val="minor"/>
    </font>
    <font>
      <color theme="1"/>
      <name val="Arial"/>
      <scheme val="minor"/>
    </font>
    <font>
      <b/>
      <color rgb="FFFFFFFF"/>
      <name val="Arial"/>
      <scheme val="minor"/>
    </font>
    <font>
      <b/>
      <color theme="1"/>
      <name val="Arial"/>
    </font>
    <font>
      <i/>
      <color rgb="FF000000"/>
      <name val="Arial"/>
      <scheme val="minor"/>
    </font>
    <font>
      <b/>
      <color theme="1"/>
      <name val="-apple-system"/>
    </font>
    <font>
      <b/>
      <color rgb="FFFF0000"/>
      <name val="Arial"/>
    </font>
    <font>
      <sz val="11.0"/>
      <color rgb="FF172B4D"/>
      <name val="-apple-system"/>
    </font>
    <font>
      <sz val="11.0"/>
      <color rgb="FF172B4D"/>
      <name val="Arial"/>
    </font>
    <font>
      <b/>
      <sz val="9.0"/>
      <color rgb="FF000000"/>
      <name val="Calibri"/>
    </font>
    <font>
      <sz val="9.0"/>
      <color rgb="FF000000"/>
      <name val="Calibri"/>
    </font>
    <font>
      <sz val="9.0"/>
      <color theme="1"/>
      <name val="Calibri"/>
    </font>
    <font>
      <b/>
      <sz val="9.0"/>
      <color theme="1"/>
      <name val="Calibri"/>
    </font>
    <font>
      <b/>
      <sz val="9.0"/>
      <color theme="1"/>
      <name val="Arial"/>
    </font>
    <font>
      <b/>
      <sz val="10.0"/>
      <color theme="1"/>
      <name val="Arial"/>
    </font>
    <font>
      <color theme="1"/>
      <name val="'Consolas'"/>
    </font>
    <font>
      <b/>
      <color rgb="FF000000"/>
      <name val="Arial"/>
    </font>
    <font>
      <color theme="1"/>
      <name val="Arial"/>
    </font>
    <font>
      <color rgb="FF000000"/>
      <name val="Arial"/>
    </font>
    <font>
      <sz val="11.0"/>
      <color rgb="FF000000"/>
      <name val="Arial"/>
    </font>
    <font>
      <u/>
      <color rgb="FF0000FF"/>
      <name val="'Consolas'"/>
    </font>
    <font>
      <color theme="1"/>
      <name val="Consolas"/>
    </font>
    <font>
      <sz val="11.0"/>
      <color rgb="FF000000"/>
      <name val="&quot;Aptos Narrow&quot;"/>
    </font>
    <font>
      <b/>
      <color theme="1"/>
      <name val="Arial"/>
      <scheme val="minor"/>
    </font>
    <font>
      <sz val="12.0"/>
      <color theme="1"/>
      <name val="Calibri"/>
    </font>
    <font>
      <b/>
      <sz val="13.0"/>
      <color rgb="FFFFFFFF"/>
      <name val="Calibri"/>
    </font>
    <font>
      <sz val="11.0"/>
      <color rgb="FF000000"/>
      <name val="Calibri"/>
    </font>
    <font>
      <b/>
      <i/>
      <color rgb="FF0000FF"/>
      <name val="Consolas"/>
    </font>
    <font>
      <b/>
      <sz val="14.0"/>
      <color rgb="FFFFFFFF"/>
      <name val="Calibri"/>
    </font>
    <font>
      <sz val="10.0"/>
      <color theme="1"/>
      <name val="Arial"/>
    </font>
    <font>
      <sz val="11.0"/>
      <color rgb="FF000000"/>
      <name val="Inconsolata"/>
    </font>
    <font>
      <sz val="11.0"/>
      <color theme="1"/>
      <name val="Inconsolata"/>
    </font>
    <font>
      <color theme="1"/>
      <name val="Calibri"/>
    </font>
    <font>
      <sz val="9.0"/>
      <color theme="1"/>
      <name val="Arial"/>
    </font>
    <font>
      <u/>
      <color rgb="FF0000FF"/>
      <name val="'Consolas'"/>
    </font>
    <font>
      <color rgb="FF0033B3"/>
      <name val="Consolas"/>
    </font>
    <font>
      <i/>
      <color rgb="FF1750EB"/>
      <name val="Consolas"/>
    </font>
    <font>
      <sz val="11.0"/>
      <color theme="1"/>
      <name val="Arial"/>
    </font>
    <font>
      <sz val="10.0"/>
      <color rgb="FF222222"/>
      <name val="Arial"/>
      <scheme val="minor"/>
    </font>
    <font>
      <sz val="11.0"/>
      <color rgb="FF222222"/>
      <name val="&quot;Google Sans&quot;"/>
    </font>
    <font>
      <name val="'Consolas'"/>
    </font>
    <font>
      <sz val="11.0"/>
      <color rgb="FF222222"/>
      <name val="Arial"/>
    </font>
    <font/>
    <font>
      <sz val="12.0"/>
      <color rgb="FFFF0000"/>
      <name val="Calibri"/>
    </font>
    <font>
      <sz val="12.0"/>
      <color rgb="FF000000"/>
      <name val="Calibri"/>
    </font>
    <font>
      <b/>
      <sz val="12.0"/>
      <color rgb="FFFF0000"/>
      <name val="Calibri"/>
    </font>
    <font>
      <sz val="12.0"/>
      <color rgb="FFFFFFFF"/>
      <name val="Calibri"/>
    </font>
    <font>
      <sz val="10.0"/>
      <color rgb="FFFF0000"/>
      <name val="Arial"/>
    </font>
    <font>
      <sz val="12.0"/>
      <color rgb="FF000000"/>
      <name val="Arial"/>
    </font>
    <font>
      <sz val="11.0"/>
      <color theme="1"/>
      <name val="Calibri"/>
    </font>
    <font>
      <sz val="12.0"/>
      <color theme="1"/>
      <name val="Arial"/>
    </font>
    <font>
      <b/>
      <sz val="12.0"/>
      <color theme="1"/>
      <name val="Arial"/>
    </font>
    <font>
      <sz val="12.0"/>
      <color rgb="FFFFFFFF"/>
      <name val="Arial"/>
    </font>
    <font>
      <b/>
      <sz val="12.0"/>
      <color rgb="FF000000"/>
      <name val="Arial"/>
    </font>
    <font>
      <color rgb="FF080808"/>
      <name val="Consolas"/>
    </font>
  </fonts>
  <fills count="16">
    <fill>
      <patternFill patternType="none"/>
    </fill>
    <fill>
      <patternFill patternType="lightGray"/>
    </fill>
    <fill>
      <patternFill patternType="solid">
        <fgColor rgb="FFFFFFFF"/>
        <bgColor rgb="FFFFFFFF"/>
      </patternFill>
    </fill>
    <fill>
      <patternFill patternType="solid">
        <fgColor rgb="FF4611EA"/>
        <bgColor rgb="FF4611EA"/>
      </patternFill>
    </fill>
    <fill>
      <patternFill patternType="solid">
        <fgColor rgb="FFD9D9D9"/>
        <bgColor rgb="FFD9D9D9"/>
      </patternFill>
    </fill>
    <fill>
      <patternFill patternType="solid">
        <fgColor rgb="FF000000"/>
        <bgColor rgb="FF000000"/>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B7E1CD"/>
        <bgColor rgb="FFB7E1CD"/>
      </patternFill>
    </fill>
    <fill>
      <patternFill patternType="solid">
        <fgColor rgb="FF4711EA"/>
        <bgColor rgb="FF4711EA"/>
      </patternFill>
    </fill>
    <fill>
      <patternFill patternType="solid">
        <fgColor rgb="FFFF9900"/>
        <bgColor rgb="FFFF9900"/>
      </patternFill>
    </fill>
    <fill>
      <patternFill patternType="solid">
        <fgColor rgb="FFEFEFEF"/>
        <bgColor rgb="FFEFEFEF"/>
      </patternFill>
    </fill>
    <fill>
      <patternFill patternType="solid">
        <fgColor rgb="FF00FFFF"/>
        <bgColor rgb="FF00FFFF"/>
      </patternFill>
    </fill>
    <fill>
      <patternFill patternType="solid">
        <fgColor rgb="FF999999"/>
        <bgColor rgb="FF999999"/>
      </patternFill>
    </fill>
    <fill>
      <patternFill patternType="solid">
        <fgColor rgb="FF4A86E8"/>
        <bgColor rgb="FF4A86E8"/>
      </patternFill>
    </fill>
  </fills>
  <borders count="14">
    <border/>
    <border>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rder>
    <border>
      <bottom/>
    </border>
    <border>
      <left/>
      <right/>
      <top/>
      <bottom/>
    </border>
    <border>
      <left/>
      <right/>
    </border>
    <border>
      <left/>
      <right style="thin">
        <color rgb="FFFFFFFF"/>
      </right>
      <bottom/>
    </border>
    <border>
      <left style="thin">
        <color rgb="FFFFFFFF"/>
      </left>
      <right/>
      <top/>
      <bottom/>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xf>
    <xf borderId="0" fillId="2" fontId="1" numFmtId="0" xfId="0" applyAlignment="1" applyFont="1">
      <alignment horizontal="right" readingOrder="0"/>
    </xf>
    <xf borderId="1" fillId="2" fontId="3" numFmtId="0" xfId="0" applyAlignment="1" applyBorder="1" applyFont="1">
      <alignment shrinkToFit="0" vertical="bottom" wrapText="0"/>
    </xf>
    <xf borderId="1" fillId="2" fontId="3" numFmtId="0" xfId="0" applyAlignment="1" applyBorder="1" applyFont="1">
      <alignment readingOrder="0" shrinkToFit="0" vertical="bottom" wrapText="0"/>
    </xf>
    <xf borderId="0" fillId="2" fontId="3" numFmtId="0" xfId="0" applyAlignment="1" applyFont="1">
      <alignment readingOrder="0"/>
    </xf>
    <xf borderId="0" fillId="2" fontId="4" numFmtId="0" xfId="0" applyAlignment="1" applyFont="1">
      <alignment readingOrder="0"/>
    </xf>
    <xf borderId="0" fillId="0" fontId="1" numFmtId="0" xfId="0" applyAlignment="1" applyFont="1">
      <alignment readingOrder="0"/>
    </xf>
    <xf borderId="0" fillId="2" fontId="5" numFmtId="0" xfId="0" applyFont="1"/>
    <xf borderId="0" fillId="2"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4" fontId="9" numFmtId="0" xfId="0" applyAlignment="1" applyFill="1" applyFont="1">
      <alignment horizontal="center" shrinkToFit="0" wrapText="1"/>
    </xf>
    <xf borderId="0" fillId="5" fontId="2" numFmtId="0" xfId="0" applyAlignment="1" applyFill="1" applyFont="1">
      <alignment horizontal="center" readingOrder="0"/>
    </xf>
    <xf borderId="0" fillId="4" fontId="10" numFmtId="0" xfId="0" applyAlignment="1" applyFont="1">
      <alignment horizontal="center" shrinkToFit="0" vertical="bottom" wrapText="1"/>
    </xf>
    <xf borderId="0" fillId="4" fontId="9" numFmtId="0" xfId="0" applyAlignment="1" applyFont="1">
      <alignment horizontal="center" shrinkToFit="0" vertical="bottom" wrapText="1"/>
    </xf>
    <xf borderId="0" fillId="4" fontId="11" numFmtId="0" xfId="0" applyAlignment="1" applyFont="1">
      <alignment horizontal="center" shrinkToFit="0" vertical="bottom" wrapText="1"/>
    </xf>
    <xf borderId="0" fillId="4" fontId="12" numFmtId="0" xfId="0" applyAlignment="1" applyFont="1">
      <alignment horizontal="center" shrinkToFit="0" vertical="bottom" wrapText="1"/>
    </xf>
    <xf borderId="0" fillId="0" fontId="13" numFmtId="0" xfId="0" applyAlignment="1" applyFont="1">
      <alignment horizontal="right" shrinkToFit="0" vertical="bottom" wrapText="0"/>
    </xf>
    <xf borderId="0" fillId="0" fontId="1" numFmtId="0" xfId="0" applyFont="1"/>
    <xf borderId="0" fillId="0" fontId="1" numFmtId="164" xfId="0" applyAlignment="1" applyFont="1" applyNumberFormat="1">
      <alignment readingOrder="0"/>
    </xf>
    <xf borderId="0" fillId="6" fontId="14" numFmtId="49" xfId="0" applyAlignment="1" applyFill="1" applyFont="1" applyNumberFormat="1">
      <alignment horizontal="center" shrinkToFit="0" vertical="center" wrapText="1"/>
    </xf>
    <xf borderId="0" fillId="7" fontId="14" numFmtId="49" xfId="0" applyAlignment="1" applyFill="1" applyFont="1" applyNumberFormat="1">
      <alignment horizontal="center" shrinkToFit="0" vertical="center" wrapText="1"/>
    </xf>
    <xf borderId="0" fillId="8" fontId="3" numFmtId="0" xfId="0" applyAlignment="1" applyFill="1" applyFont="1">
      <alignment horizontal="center" vertical="bottom"/>
    </xf>
    <xf quotePrefix="1" borderId="0" fillId="8" fontId="3" numFmtId="0" xfId="0" applyAlignment="1" applyFont="1">
      <alignment horizontal="right" vertical="bottom"/>
    </xf>
    <xf borderId="0" fillId="7" fontId="3" numFmtId="49" xfId="0" applyAlignment="1" applyFont="1" applyNumberFormat="1">
      <alignment shrinkToFit="0" wrapText="1"/>
    </xf>
    <xf borderId="0" fillId="4" fontId="12" numFmtId="0" xfId="0" applyAlignment="1" applyFont="1">
      <alignment horizontal="center" shrinkToFit="0" vertical="bottom" wrapText="1"/>
    </xf>
    <xf borderId="0" fillId="2" fontId="15" numFmtId="0" xfId="0" applyAlignment="1" applyFont="1">
      <alignment readingOrder="0"/>
    </xf>
    <xf borderId="0" fillId="6" fontId="14" numFmtId="49" xfId="0" applyAlignment="1" applyFont="1" applyNumberFormat="1">
      <alignment horizontal="center" readingOrder="0" shrinkToFit="0" vertical="center" wrapText="1"/>
    </xf>
    <xf borderId="0" fillId="7" fontId="3" numFmtId="0" xfId="0" applyAlignment="1" applyFont="1">
      <alignment horizontal="center" readingOrder="0"/>
    </xf>
    <xf borderId="0" fillId="8" fontId="16" numFmtId="0" xfId="0" applyAlignment="1" applyFont="1">
      <alignment horizontal="center" shrinkToFit="0" vertical="bottom" wrapText="1"/>
    </xf>
    <xf borderId="0" fillId="8" fontId="3" numFmtId="0" xfId="0" applyAlignment="1" applyFont="1">
      <alignment horizontal="center" shrinkToFit="0" vertical="bottom" wrapText="1"/>
    </xf>
    <xf borderId="0" fillId="7" fontId="3" numFmtId="0" xfId="0" applyAlignment="1" applyFont="1">
      <alignment horizontal="center" vertical="bottom"/>
    </xf>
    <xf borderId="0" fillId="0" fontId="17" numFmtId="0" xfId="0" applyAlignment="1" applyFont="1">
      <alignment vertical="bottom"/>
    </xf>
    <xf borderId="0" fillId="6" fontId="17" numFmtId="0" xfId="0" applyAlignment="1" applyFont="1">
      <alignment horizontal="center" readingOrder="0" shrinkToFit="0" wrapText="1"/>
    </xf>
    <xf borderId="0" fillId="7" fontId="17" numFmtId="0" xfId="0" applyAlignment="1" applyFont="1">
      <alignment horizontal="center" readingOrder="0" shrinkToFit="0" wrapText="1"/>
    </xf>
    <xf borderId="0" fillId="8" fontId="18" numFmtId="0" xfId="0" applyAlignment="1" applyFont="1">
      <alignment horizontal="center" shrinkToFit="0" vertical="bottom" wrapText="1"/>
    </xf>
    <xf borderId="0" fillId="8" fontId="17" numFmtId="0" xfId="0" applyAlignment="1" applyFont="1">
      <alignment horizontal="center" shrinkToFit="0" vertical="bottom" wrapText="1"/>
    </xf>
    <xf borderId="0" fillId="7" fontId="17" numFmtId="0" xfId="0" applyAlignment="1" applyFont="1">
      <alignment horizontal="center" shrinkToFit="0" vertical="bottom" wrapText="1"/>
    </xf>
    <xf borderId="0" fillId="7" fontId="17" numFmtId="0" xfId="0" applyAlignment="1" applyFont="1">
      <alignment horizontal="center" shrinkToFit="0" vertical="bottom" wrapText="1"/>
    </xf>
    <xf borderId="0" fillId="9" fontId="12" numFmtId="0" xfId="0" applyAlignment="1" applyFill="1" applyFont="1">
      <alignment horizontal="center" shrinkToFit="0" vertical="bottom" wrapText="1"/>
    </xf>
    <xf borderId="0" fillId="2" fontId="15" numFmtId="164" xfId="0" applyAlignment="1" applyFont="1" applyNumberFormat="1">
      <alignment readingOrder="0"/>
    </xf>
    <xf borderId="0" fillId="0" fontId="19" numFmtId="0" xfId="0" applyAlignment="1" applyFont="1">
      <alignment readingOrder="0" shrinkToFit="0" vertical="bottom" wrapText="0"/>
    </xf>
    <xf borderId="0" fillId="2" fontId="20" numFmtId="0" xfId="0" applyAlignment="1" applyFont="1">
      <alignment readingOrder="0"/>
    </xf>
    <xf borderId="0" fillId="0" fontId="17" numFmtId="0" xfId="0" applyAlignment="1" applyFont="1">
      <alignment readingOrder="0" vertical="bottom"/>
    </xf>
    <xf borderId="0" fillId="0" fontId="17" numFmtId="0" xfId="0" applyAlignment="1" applyFont="1">
      <alignment vertical="bottom"/>
    </xf>
    <xf borderId="0" fillId="2" fontId="21" numFmtId="0" xfId="0" applyAlignment="1" applyFont="1">
      <alignment vertical="bottom"/>
    </xf>
    <xf borderId="0" fillId="0" fontId="1" numFmtId="165" xfId="0" applyAlignment="1" applyFont="1" applyNumberFormat="1">
      <alignment readingOrder="0"/>
    </xf>
    <xf borderId="0" fillId="6" fontId="3" numFmtId="0" xfId="0" applyAlignment="1" applyFont="1">
      <alignment horizontal="center" readingOrder="0" shrinkToFit="0" wrapText="1"/>
    </xf>
    <xf borderId="0" fillId="0" fontId="9" numFmtId="0" xfId="0" applyAlignment="1" applyFont="1">
      <alignment horizontal="center" shrinkToFit="0" vertical="bottom" wrapText="1"/>
    </xf>
    <xf borderId="0" fillId="0" fontId="22" numFmtId="0" xfId="0" applyAlignment="1" applyFont="1">
      <alignment readingOrder="0" shrinkToFit="0" vertical="bottom" wrapText="0"/>
    </xf>
    <xf borderId="0" fillId="2" fontId="21" numFmtId="0" xfId="0" applyAlignment="1" applyFont="1">
      <alignment vertical="bottom"/>
    </xf>
    <xf quotePrefix="1" borderId="0" fillId="8" fontId="23" numFmtId="49" xfId="0" applyAlignment="1" applyFont="1" applyNumberFormat="1">
      <alignment readingOrder="0"/>
    </xf>
    <xf quotePrefix="1" borderId="0" fillId="7" fontId="14" numFmtId="49" xfId="0" applyAlignment="1" applyFont="1" applyNumberFormat="1">
      <alignment horizontal="center" readingOrder="0" shrinkToFit="0" vertical="center" wrapText="1"/>
    </xf>
    <xf borderId="0" fillId="4" fontId="9" numFmtId="49" xfId="0" applyAlignment="1" applyFont="1" applyNumberFormat="1">
      <alignment horizontal="center" shrinkToFit="0" wrapText="1"/>
    </xf>
    <xf borderId="0" fillId="0" fontId="24" numFmtId="49" xfId="0" applyFont="1" applyNumberFormat="1"/>
    <xf borderId="0" fillId="0" fontId="24" numFmtId="0" xfId="0" applyFont="1"/>
    <xf quotePrefix="1" borderId="0" fillId="7" fontId="14" numFmtId="166" xfId="0" applyAlignment="1" applyFont="1" applyNumberFormat="1">
      <alignment horizontal="center" readingOrder="0" shrinkToFit="0" vertical="center" wrapText="1"/>
    </xf>
    <xf borderId="0" fillId="0" fontId="1" numFmtId="0" xfId="0" applyFont="1"/>
    <xf borderId="0" fillId="10" fontId="25" numFmtId="0" xfId="0" applyAlignment="1" applyFill="1" applyFont="1">
      <alignment readingOrder="0" shrinkToFit="0" vertical="bottom" wrapText="0"/>
    </xf>
    <xf borderId="0" fillId="10" fontId="17" numFmtId="0" xfId="0" applyAlignment="1" applyFont="1">
      <alignment vertical="bottom"/>
    </xf>
    <xf borderId="0" fillId="10" fontId="17" numFmtId="49" xfId="0" applyAlignment="1" applyFont="1" applyNumberFormat="1">
      <alignment vertical="bottom"/>
    </xf>
    <xf borderId="0" fillId="10" fontId="17" numFmtId="0" xfId="0" applyAlignment="1" applyFont="1">
      <alignment vertical="bottom"/>
    </xf>
    <xf borderId="0" fillId="10" fontId="17" numFmtId="166" xfId="0" applyAlignment="1" applyFont="1" applyNumberFormat="1">
      <alignment vertical="bottom"/>
    </xf>
    <xf borderId="0" fillId="6" fontId="3" numFmtId="0" xfId="0" applyAlignment="1" applyFont="1">
      <alignment horizontal="center" shrinkToFit="0" wrapText="1"/>
    </xf>
    <xf borderId="0" fillId="8" fontId="3" numFmtId="49" xfId="0" applyAlignment="1" applyFont="1" applyNumberFormat="1">
      <alignment horizontal="center" readingOrder="0" shrinkToFit="0" wrapText="1"/>
    </xf>
    <xf borderId="0" fillId="8" fontId="3" numFmtId="49" xfId="0" applyAlignment="1" applyFont="1" applyNumberFormat="1">
      <alignment horizontal="center" shrinkToFit="0" vertical="bottom" wrapText="1"/>
    </xf>
    <xf borderId="0" fillId="8" fontId="3" numFmtId="49" xfId="0" applyAlignment="1" applyFont="1" applyNumberFormat="1">
      <alignment horizontal="center" shrinkToFit="0" wrapText="1"/>
    </xf>
    <xf borderId="0" fillId="8" fontId="3" numFmtId="49" xfId="0" applyAlignment="1" applyFont="1" applyNumberFormat="1">
      <alignment horizontal="center" readingOrder="0" shrinkToFit="0" wrapText="1"/>
    </xf>
    <xf borderId="0" fillId="6" fontId="3" numFmtId="49" xfId="0" applyAlignment="1" applyFont="1" applyNumberFormat="1">
      <alignment horizontal="center" shrinkToFit="0" wrapText="1"/>
    </xf>
    <xf borderId="0" fillId="7" fontId="3" numFmtId="49" xfId="0" applyAlignment="1" applyFont="1" applyNumberFormat="1">
      <alignment horizontal="center" shrinkToFit="0" wrapText="1"/>
    </xf>
    <xf borderId="0" fillId="6" fontId="3" numFmtId="0" xfId="0" applyAlignment="1" applyFont="1">
      <alignment horizontal="left" readingOrder="0" shrinkToFit="0" wrapText="0"/>
    </xf>
    <xf borderId="0" fillId="7" fontId="3" numFmtId="166" xfId="0" applyAlignment="1" applyFont="1" applyNumberFormat="1">
      <alignment horizontal="center" shrinkToFit="0" wrapText="1"/>
    </xf>
    <xf borderId="0" fillId="6" fontId="3" numFmtId="0" xfId="0" applyAlignment="1" applyFont="1">
      <alignment horizontal="center" shrinkToFit="0" vertical="bottom" wrapText="1"/>
    </xf>
    <xf borderId="0" fillId="7" fontId="3" numFmtId="0" xfId="0" applyAlignment="1" applyFont="1">
      <alignment horizontal="center" shrinkToFit="0" vertical="bottom" wrapText="1"/>
    </xf>
    <xf borderId="0" fillId="2" fontId="17" numFmtId="0" xfId="0" applyAlignment="1" applyFont="1">
      <alignment vertical="bottom"/>
    </xf>
    <xf borderId="0" fillId="6" fontId="18" numFmtId="0" xfId="0" applyAlignment="1" applyFont="1">
      <alignment horizontal="center" readingOrder="0" shrinkToFit="0" wrapText="1"/>
    </xf>
    <xf borderId="0" fillId="8" fontId="17" numFmtId="49" xfId="0" applyAlignment="1" applyFont="1" applyNumberFormat="1">
      <alignment horizontal="center" readingOrder="0" shrinkToFit="0" wrapText="1"/>
    </xf>
    <xf borderId="0" fillId="8" fontId="17" numFmtId="49" xfId="0" applyAlignment="1" applyFont="1" applyNumberFormat="1">
      <alignment horizontal="center" readingOrder="0" shrinkToFit="0" wrapText="1"/>
    </xf>
    <xf borderId="0" fillId="8" fontId="17" numFmtId="49" xfId="0" applyAlignment="1" applyFont="1" applyNumberFormat="1">
      <alignment horizontal="center" readingOrder="0" shrinkToFit="0" wrapText="1"/>
    </xf>
    <xf borderId="0" fillId="6" fontId="17" numFmtId="49" xfId="0" applyAlignment="1" applyFont="1" applyNumberFormat="1">
      <alignment horizontal="center" readingOrder="0" shrinkToFit="0" wrapText="1"/>
    </xf>
    <xf borderId="0" fillId="7" fontId="17" numFmtId="0" xfId="0" applyAlignment="1" applyFont="1">
      <alignment horizontal="center" shrinkToFit="0" wrapText="1"/>
    </xf>
    <xf borderId="0" fillId="11" fontId="17" numFmtId="0" xfId="0" applyAlignment="1" applyFill="1" applyFont="1">
      <alignment horizontal="center" vertical="bottom"/>
    </xf>
    <xf borderId="0" fillId="0" fontId="22" numFmtId="0" xfId="0" applyAlignment="1" applyFont="1">
      <alignment horizontal="right" readingOrder="0" shrinkToFit="0" vertical="bottom" wrapText="0"/>
    </xf>
    <xf borderId="0" fillId="0" fontId="17" numFmtId="49" xfId="0" applyAlignment="1" applyFont="1" applyNumberFormat="1">
      <alignment readingOrder="0" vertical="bottom"/>
    </xf>
    <xf borderId="0" fillId="0" fontId="1" numFmtId="166" xfId="0" applyAlignment="1" applyFont="1" applyNumberFormat="1">
      <alignment readingOrder="0"/>
    </xf>
    <xf borderId="0" fillId="0" fontId="26" numFmtId="0" xfId="0" applyAlignment="1" applyFont="1">
      <alignment horizontal="left" readingOrder="0" shrinkToFit="0" vertical="bottom" wrapText="0"/>
    </xf>
    <xf borderId="0" fillId="0" fontId="17" numFmtId="0" xfId="0" applyAlignment="1" applyFont="1">
      <alignment horizontal="center" readingOrder="0"/>
    </xf>
    <xf borderId="0" fillId="0" fontId="17" numFmtId="0" xfId="0" applyAlignment="1" applyFont="1">
      <alignment horizontal="right" vertical="bottom"/>
    </xf>
    <xf borderId="0" fillId="0" fontId="17" numFmtId="49" xfId="0" applyAlignment="1" applyFont="1" applyNumberFormat="1">
      <alignment vertical="bottom"/>
    </xf>
    <xf borderId="0" fillId="0" fontId="1" numFmtId="166" xfId="0" applyFont="1" applyNumberFormat="1"/>
    <xf borderId="0" fillId="0" fontId="26" numFmtId="0" xfId="0" applyAlignment="1" applyFont="1">
      <alignment horizontal="right" readingOrder="0" shrinkToFit="0" vertical="bottom" wrapText="0"/>
    </xf>
    <xf borderId="0" fillId="0" fontId="1" numFmtId="49" xfId="0" applyFont="1" applyNumberFormat="1"/>
    <xf borderId="0" fillId="0" fontId="1" numFmtId="0" xfId="0" applyAlignment="1" applyFont="1">
      <alignment horizontal="center"/>
    </xf>
    <xf quotePrefix="1" borderId="0" fillId="4" fontId="3" numFmtId="49" xfId="0" applyAlignment="1" applyFont="1" applyNumberFormat="1">
      <alignment horizontal="left" readingOrder="0" shrinkToFit="0" wrapText="0"/>
    </xf>
    <xf borderId="0" fillId="4" fontId="17" numFmtId="49" xfId="0" applyAlignment="1" applyFont="1" applyNumberFormat="1">
      <alignment horizontal="center" readingOrder="0" shrinkToFit="0" wrapText="1"/>
    </xf>
    <xf quotePrefix="1" borderId="0" fillId="8" fontId="3" numFmtId="0" xfId="0" applyAlignment="1" applyFont="1">
      <alignment vertical="bottom"/>
    </xf>
    <xf borderId="0" fillId="2" fontId="27" numFmtId="0" xfId="0" applyAlignment="1" applyFont="1">
      <alignment readingOrder="0"/>
    </xf>
    <xf borderId="0" fillId="10" fontId="25" numFmtId="0" xfId="0" applyAlignment="1" applyFont="1">
      <alignment readingOrder="0"/>
    </xf>
    <xf borderId="0" fillId="10" fontId="24" numFmtId="49" xfId="0" applyFont="1" applyNumberFormat="1"/>
    <xf borderId="0" fillId="10" fontId="28" numFmtId="0" xfId="0" applyAlignment="1" applyFont="1">
      <alignment readingOrder="0"/>
    </xf>
    <xf borderId="0" fillId="10" fontId="24" numFmtId="0" xfId="0" applyFont="1"/>
    <xf borderId="0" fillId="12" fontId="3" numFmtId="49" xfId="0" applyAlignment="1" applyFill="1" applyFont="1" applyNumberFormat="1">
      <alignment horizontal="center" shrinkToFit="0" wrapText="1"/>
    </xf>
    <xf borderId="0" fillId="6" fontId="3" numFmtId="49" xfId="0" applyAlignment="1" applyFont="1" applyNumberFormat="1">
      <alignment horizontal="center" readingOrder="0" shrinkToFit="0" wrapText="1"/>
    </xf>
    <xf borderId="0" fillId="12" fontId="3" numFmtId="49" xfId="0" applyAlignment="1" applyFont="1" applyNumberFormat="1">
      <alignment horizontal="center" shrinkToFit="0" vertical="bottom" wrapText="1"/>
    </xf>
    <xf borderId="0" fillId="12" fontId="17" numFmtId="49" xfId="0" applyAlignment="1" applyFont="1" applyNumberFormat="1">
      <alignment horizontal="center" readingOrder="0" shrinkToFit="0" wrapText="1"/>
    </xf>
    <xf borderId="0" fillId="6" fontId="29" numFmtId="49" xfId="0" applyAlignment="1" applyFont="1" applyNumberFormat="1">
      <alignment horizontal="center" readingOrder="0" shrinkToFit="0" vertical="bottom" wrapText="1"/>
    </xf>
    <xf borderId="0" fillId="12" fontId="17" numFmtId="0" xfId="0" applyAlignment="1" applyFont="1">
      <alignment horizontal="center" shrinkToFit="0" vertical="bottom" wrapText="1"/>
    </xf>
    <xf borderId="0" fillId="2" fontId="30" numFmtId="0" xfId="0" applyAlignment="1" applyFont="1">
      <alignment readingOrder="0"/>
    </xf>
    <xf borderId="0" fillId="2" fontId="15" numFmtId="49" xfId="0" applyAlignment="1" applyFont="1" applyNumberFormat="1">
      <alignment readingOrder="0"/>
    </xf>
    <xf borderId="0" fillId="12" fontId="17" numFmtId="0" xfId="0" applyAlignment="1" applyFont="1">
      <alignment vertical="bottom"/>
    </xf>
    <xf borderId="0" fillId="12" fontId="17" numFmtId="0" xfId="0" applyAlignment="1" applyFont="1">
      <alignment horizontal="center" vertical="bottom"/>
    </xf>
    <xf borderId="0" fillId="2" fontId="31" numFmtId="0" xfId="0" applyAlignment="1" applyFont="1">
      <alignment vertical="bottom"/>
    </xf>
    <xf borderId="0" fillId="12" fontId="15" numFmtId="0" xfId="0" applyAlignment="1" applyFont="1">
      <alignment readingOrder="0"/>
    </xf>
    <xf borderId="0" fillId="10" fontId="24" numFmtId="0" xfId="0" applyAlignment="1" applyFont="1">
      <alignment horizontal="center"/>
    </xf>
    <xf borderId="0" fillId="10" fontId="24" numFmtId="0" xfId="0" applyAlignment="1" applyFont="1">
      <alignment horizontal="left"/>
    </xf>
    <xf borderId="0" fillId="0" fontId="32" numFmtId="0" xfId="0" applyFont="1"/>
    <xf borderId="0" fillId="8" fontId="3" numFmtId="0" xfId="0" applyAlignment="1" applyFont="1">
      <alignment horizontal="center" readingOrder="0" shrinkToFit="0" wrapText="1"/>
    </xf>
    <xf borderId="0" fillId="7" fontId="3" numFmtId="0" xfId="0" applyAlignment="1" applyFont="1">
      <alignment horizontal="center" shrinkToFit="0" wrapText="1"/>
    </xf>
    <xf borderId="0" fillId="7" fontId="3" numFmtId="0" xfId="0" applyAlignment="1" applyFont="1">
      <alignment horizontal="center" readingOrder="0" shrinkToFit="0" wrapText="1"/>
    </xf>
    <xf borderId="0" fillId="12" fontId="17" numFmtId="49" xfId="0" applyAlignment="1" applyFont="1" applyNumberFormat="1">
      <alignment horizontal="center" readingOrder="0" shrinkToFit="0" wrapText="0"/>
    </xf>
    <xf borderId="0" fillId="12" fontId="16" numFmtId="49" xfId="0" applyAlignment="1" applyFont="1" applyNumberFormat="1">
      <alignment horizontal="center" readingOrder="0" vertical="center"/>
    </xf>
    <xf borderId="0" fillId="8" fontId="33" numFmtId="49" xfId="0" applyAlignment="1" applyFont="1" applyNumberFormat="1">
      <alignment horizontal="center" readingOrder="0" shrinkToFit="0" wrapText="1"/>
    </xf>
    <xf borderId="0" fillId="6" fontId="29" numFmtId="49" xfId="0" applyAlignment="1" applyFont="1" applyNumberFormat="1">
      <alignment horizontal="center" readingOrder="0" shrinkToFit="0" wrapText="1"/>
    </xf>
    <xf borderId="0" fillId="8" fontId="17" numFmtId="49" xfId="0" applyAlignment="1" applyFont="1" applyNumberFormat="1">
      <alignment horizontal="center" shrinkToFit="0" vertical="bottom" wrapText="1"/>
    </xf>
    <xf borderId="0" fillId="7" fontId="17" numFmtId="0" xfId="0" applyAlignment="1" applyFont="1">
      <alignment vertical="bottom"/>
    </xf>
    <xf borderId="0" fillId="0" fontId="17" numFmtId="0" xfId="0" applyAlignment="1" applyFont="1">
      <alignment horizontal="right" readingOrder="0" vertical="bottom"/>
    </xf>
    <xf borderId="0" fillId="12" fontId="15" numFmtId="0" xfId="0" applyAlignment="1" applyFont="1">
      <alignment horizontal="left" readingOrder="0"/>
    </xf>
    <xf borderId="0" fillId="2" fontId="15" numFmtId="0" xfId="0" applyAlignment="1" applyFont="1">
      <alignment horizontal="left" readingOrder="0"/>
    </xf>
    <xf borderId="0" fillId="0" fontId="1" numFmtId="0" xfId="0" applyAlignment="1" applyFont="1">
      <alignment horizontal="center" readingOrder="0"/>
    </xf>
    <xf borderId="0" fillId="0" fontId="34" numFmtId="0" xfId="0" applyAlignment="1" applyFont="1">
      <alignment readingOrder="0" shrinkToFit="0" wrapText="0"/>
    </xf>
    <xf borderId="0" fillId="2" fontId="35" numFmtId="0" xfId="0" applyAlignment="1" applyFont="1">
      <alignment readingOrder="0"/>
    </xf>
    <xf borderId="0" fillId="0" fontId="1" numFmtId="0" xfId="0" applyAlignment="1" applyFont="1">
      <alignment horizontal="left"/>
    </xf>
    <xf borderId="0" fillId="2" fontId="36" numFmtId="0" xfId="0" applyAlignment="1" applyFont="1">
      <alignment readingOrder="0"/>
    </xf>
    <xf borderId="0" fillId="10" fontId="28" numFmtId="0" xfId="0" applyFont="1"/>
    <xf borderId="2" fillId="2" fontId="21" numFmtId="0" xfId="0" applyAlignment="1" applyBorder="1" applyFont="1">
      <alignment vertical="bottom"/>
    </xf>
    <xf borderId="0" fillId="12" fontId="3" numFmtId="49" xfId="0" applyAlignment="1" applyFont="1" applyNumberFormat="1">
      <alignment horizontal="center" readingOrder="0" shrinkToFit="0" wrapText="1"/>
    </xf>
    <xf borderId="3" fillId="2" fontId="21" numFmtId="0" xfId="0" applyAlignment="1" applyBorder="1" applyFont="1">
      <alignment vertical="bottom"/>
    </xf>
    <xf borderId="0" fillId="8" fontId="17" numFmtId="49" xfId="0" applyAlignment="1" applyFont="1" applyNumberFormat="1">
      <alignment horizontal="center" readingOrder="0" shrinkToFit="0" vertical="bottom" wrapText="1"/>
    </xf>
    <xf borderId="4" fillId="2" fontId="21" numFmtId="0" xfId="0" applyAlignment="1" applyBorder="1" applyFont="1">
      <alignment vertical="bottom"/>
    </xf>
    <xf borderId="0" fillId="0" fontId="17" numFmtId="167" xfId="0" applyAlignment="1" applyFont="1" applyNumberFormat="1">
      <alignment vertical="bottom"/>
    </xf>
    <xf borderId="0" fillId="12" fontId="17" numFmtId="0" xfId="0" applyAlignment="1" applyFont="1">
      <alignment vertical="bottom"/>
    </xf>
    <xf quotePrefix="1" borderId="0" fillId="8" fontId="23" numFmtId="0" xfId="0" applyAlignment="1" applyFont="1">
      <alignment horizontal="center" readingOrder="0"/>
    </xf>
    <xf borderId="0" fillId="6" fontId="17" numFmtId="49" xfId="0" applyAlignment="1" applyFont="1" applyNumberFormat="1">
      <alignment horizontal="center" readingOrder="0" shrinkToFit="0" wrapText="1"/>
    </xf>
    <xf borderId="0" fillId="2" fontId="37" numFmtId="0" xfId="0" applyAlignment="1" applyFont="1">
      <alignment readingOrder="0" shrinkToFit="0" wrapText="0"/>
    </xf>
    <xf borderId="0" fillId="2" fontId="37" numFmtId="0" xfId="0" applyAlignment="1" applyFont="1">
      <alignment readingOrder="0"/>
    </xf>
    <xf quotePrefix="1" borderId="0" fillId="12" fontId="3" numFmtId="49" xfId="0" applyAlignment="1" applyFont="1" applyNumberFormat="1">
      <alignment horizontal="left" readingOrder="0" shrinkToFit="0" wrapText="0"/>
    </xf>
    <xf borderId="0" fillId="4" fontId="9" numFmtId="4" xfId="0" applyAlignment="1" applyFont="1" applyNumberFormat="1">
      <alignment horizontal="center" shrinkToFit="0" wrapText="1"/>
    </xf>
    <xf borderId="5" fillId="10" fontId="28" numFmtId="0" xfId="0" applyAlignment="1" applyBorder="1" applyFont="1">
      <alignment readingOrder="0" shrinkToFit="0" vertical="bottom" wrapText="0"/>
    </xf>
    <xf quotePrefix="1" borderId="0" fillId="8" fontId="23" numFmtId="0" xfId="0" applyAlignment="1" applyFont="1">
      <alignment readingOrder="0"/>
    </xf>
    <xf borderId="0" fillId="8" fontId="23" numFmtId="0" xfId="0" applyAlignment="1" applyFont="1">
      <alignment readingOrder="0"/>
    </xf>
    <xf borderId="0" fillId="6" fontId="3" numFmtId="10" xfId="0" applyAlignment="1" applyFont="1" applyNumberFormat="1">
      <alignment horizontal="center" readingOrder="0" shrinkToFit="0" wrapText="1"/>
    </xf>
    <xf borderId="0" fillId="6" fontId="29" numFmtId="10" xfId="0" applyAlignment="1" applyFont="1" applyNumberFormat="1">
      <alignment horizontal="center" readingOrder="0" shrinkToFit="0" vertical="bottom" wrapText="1"/>
    </xf>
    <xf borderId="0" fillId="8" fontId="17" numFmtId="0" xfId="0" applyAlignment="1" applyFont="1">
      <alignment horizontal="center" readingOrder="0" shrinkToFit="0" wrapText="1"/>
    </xf>
    <xf borderId="0" fillId="2" fontId="19" numFmtId="0" xfId="0" applyAlignment="1" applyFont="1">
      <alignment readingOrder="0"/>
    </xf>
    <xf borderId="0" fillId="0" fontId="1" numFmtId="10" xfId="0" applyAlignment="1" applyFont="1" applyNumberFormat="1">
      <alignment readingOrder="0"/>
    </xf>
    <xf borderId="0" fillId="12" fontId="15" numFmtId="10" xfId="0" applyAlignment="1" applyFont="1" applyNumberFormat="1">
      <alignment readingOrder="0"/>
    </xf>
    <xf borderId="0" fillId="0" fontId="18" numFmtId="0" xfId="0" applyAlignment="1" applyFont="1">
      <alignment horizontal="left" readingOrder="0"/>
    </xf>
    <xf borderId="0" fillId="0" fontId="1" numFmtId="10" xfId="0" applyFont="1" applyNumberFormat="1"/>
    <xf borderId="0" fillId="6" fontId="14" numFmtId="49" xfId="0" applyAlignment="1" applyFont="1" applyNumberFormat="1">
      <alignment horizontal="left" shrinkToFit="0" vertical="center" wrapText="0"/>
    </xf>
    <xf borderId="0" fillId="6" fontId="3" numFmtId="49" xfId="0" applyAlignment="1" applyFont="1" applyNumberFormat="1">
      <alignment horizontal="center" readingOrder="0" shrinkToFit="0" vertical="center" wrapText="0"/>
    </xf>
    <xf borderId="0" fillId="13" fontId="38" numFmtId="0" xfId="0" applyAlignment="1" applyFill="1" applyFont="1">
      <alignment readingOrder="0"/>
    </xf>
    <xf borderId="5" fillId="2" fontId="39" numFmtId="0" xfId="0" applyAlignment="1" applyBorder="1" applyFont="1">
      <alignment readingOrder="0"/>
    </xf>
    <xf borderId="0" fillId="13" fontId="17" numFmtId="0" xfId="0" applyAlignment="1" applyFont="1">
      <alignment vertical="bottom"/>
    </xf>
    <xf borderId="0" fillId="13" fontId="40" numFmtId="0" xfId="0" applyAlignment="1" applyFont="1">
      <alignment readingOrder="0" shrinkToFit="0" wrapText="0"/>
    </xf>
    <xf borderId="0" fillId="13" fontId="15" numFmtId="0" xfId="0" applyFont="1"/>
    <xf borderId="0" fillId="13" fontId="18" numFmtId="0" xfId="0" applyAlignment="1" applyFont="1">
      <alignment vertical="bottom"/>
    </xf>
    <xf borderId="0" fillId="0" fontId="9" numFmtId="0" xfId="0" applyAlignment="1" applyFont="1">
      <alignment horizontal="center" readingOrder="0" shrinkToFit="0" vertical="bottom" wrapText="1"/>
    </xf>
    <xf borderId="0" fillId="13" fontId="17" numFmtId="0" xfId="0" applyAlignment="1" applyFont="1">
      <alignment readingOrder="0"/>
    </xf>
    <xf borderId="5" fillId="2" fontId="41" numFmtId="0" xfId="0" applyAlignment="1" applyBorder="1" applyFont="1">
      <alignment readingOrder="0"/>
    </xf>
    <xf borderId="0" fillId="13" fontId="1" numFmtId="0" xfId="0" applyAlignment="1" applyFont="1">
      <alignment readingOrder="0"/>
    </xf>
    <xf borderId="0" fillId="13" fontId="40" numFmtId="0" xfId="0" applyAlignment="1" applyFont="1">
      <alignment readingOrder="0"/>
    </xf>
    <xf borderId="0" fillId="13" fontId="15" numFmtId="0" xfId="0" applyAlignment="1" applyFont="1">
      <alignment horizontal="center" readingOrder="0"/>
    </xf>
    <xf borderId="0" fillId="13" fontId="15" numFmtId="0" xfId="0" applyAlignment="1" applyFont="1">
      <alignment readingOrder="0"/>
    </xf>
    <xf borderId="0" fillId="13" fontId="15" numFmtId="0" xfId="0" applyAlignment="1" applyFont="1">
      <alignment horizontal="center" readingOrder="0"/>
    </xf>
    <xf borderId="0" fillId="13" fontId="1" numFmtId="0" xfId="0" applyFont="1"/>
    <xf borderId="0" fillId="13" fontId="17" numFmtId="0" xfId="0" applyAlignment="1" applyFont="1">
      <alignment horizontal="center" readingOrder="0"/>
    </xf>
    <xf borderId="0" fillId="13" fontId="17" numFmtId="0" xfId="0" applyAlignment="1" applyFont="1">
      <alignment horizontal="center"/>
    </xf>
    <xf borderId="5" fillId="2" fontId="39" numFmtId="0" xfId="0" applyAlignment="1" applyBorder="1" applyFont="1">
      <alignment readingOrder="0"/>
    </xf>
    <xf borderId="0" fillId="4" fontId="9" numFmtId="0" xfId="0" applyAlignment="1" applyFont="1">
      <alignment horizontal="center" readingOrder="0" shrinkToFit="0" wrapText="1"/>
    </xf>
    <xf borderId="0" fillId="12" fontId="15" numFmtId="0" xfId="0" applyAlignment="1" applyFont="1">
      <alignment horizontal="center" readingOrder="0"/>
    </xf>
    <xf borderId="0" fillId="13" fontId="17" numFmtId="0" xfId="0" applyAlignment="1" applyFont="1">
      <alignment horizontal="left" readingOrder="0"/>
    </xf>
    <xf borderId="0" fillId="13" fontId="1" numFmtId="0" xfId="0" applyAlignment="1" applyFont="1">
      <alignment horizontal="center" readingOrder="0"/>
    </xf>
    <xf borderId="0" fillId="13" fontId="42" numFmtId="0" xfId="0" applyAlignment="1" applyFont="1">
      <alignment readingOrder="0" shrinkToFit="0" wrapText="0"/>
    </xf>
    <xf borderId="0" fillId="13" fontId="17" numFmtId="0" xfId="0" applyAlignment="1" applyFont="1">
      <alignment readingOrder="0" vertical="bottom"/>
    </xf>
    <xf borderId="6" fillId="2" fontId="41" numFmtId="0" xfId="0" applyAlignment="1" applyBorder="1" applyFont="1">
      <alignment readingOrder="0"/>
    </xf>
    <xf borderId="7" fillId="0" fontId="1" numFmtId="0" xfId="0" applyBorder="1" applyFont="1"/>
    <xf borderId="0" fillId="13" fontId="17" numFmtId="0" xfId="0" applyAlignment="1" applyFont="1">
      <alignment vertical="bottom"/>
    </xf>
    <xf borderId="0" fillId="13" fontId="17" numFmtId="0" xfId="0" applyAlignment="1" applyFont="1">
      <alignment readingOrder="0" vertical="bottom"/>
    </xf>
    <xf borderId="0" fillId="2" fontId="39" numFmtId="0" xfId="0" applyAlignment="1" applyFont="1">
      <alignment readingOrder="0"/>
    </xf>
    <xf borderId="0" fillId="13" fontId="1" numFmtId="10" xfId="0" applyAlignment="1" applyFont="1" applyNumberFormat="1">
      <alignment readingOrder="0"/>
    </xf>
    <xf borderId="0" fillId="13" fontId="18" numFmtId="0" xfId="0" applyAlignment="1" applyFont="1">
      <alignment horizontal="left" readingOrder="0"/>
    </xf>
    <xf borderId="0" fillId="13" fontId="15" numFmtId="10" xfId="0" applyAlignment="1" applyFont="1" applyNumberFormat="1">
      <alignment readingOrder="0"/>
    </xf>
    <xf borderId="0" fillId="2" fontId="43" numFmtId="0" xfId="0" applyAlignment="1" applyFont="1">
      <alignment shrinkToFit="0" wrapText="0"/>
    </xf>
    <xf borderId="0" fillId="0" fontId="44" numFmtId="0" xfId="0" applyAlignment="1" applyFont="1">
      <alignment readingOrder="0" shrinkToFit="0" wrapText="0"/>
    </xf>
    <xf borderId="0" fillId="0" fontId="44" numFmtId="0" xfId="0" applyAlignment="1" applyFont="1">
      <alignment shrinkToFit="0" wrapText="0"/>
    </xf>
    <xf borderId="8" fillId="14" fontId="45" numFmtId="0" xfId="0" applyAlignment="1" applyBorder="1" applyFill="1" applyFont="1">
      <alignment shrinkToFit="0" vertical="bottom" wrapText="0"/>
    </xf>
    <xf borderId="9" fillId="14" fontId="17" numFmtId="0" xfId="0" applyAlignment="1" applyBorder="1" applyFont="1">
      <alignment horizontal="center" vertical="bottom"/>
    </xf>
    <xf borderId="9" fillId="14" fontId="17" numFmtId="0" xfId="0" applyAlignment="1" applyBorder="1" applyFont="1">
      <alignment horizontal="center" vertical="bottom"/>
    </xf>
    <xf borderId="9" fillId="14" fontId="17" numFmtId="0" xfId="0" applyAlignment="1" applyBorder="1" applyFont="1">
      <alignment vertical="bottom"/>
    </xf>
    <xf borderId="8" fillId="14" fontId="46" numFmtId="0" xfId="0" applyAlignment="1" applyBorder="1" applyFont="1">
      <alignment vertical="bottom"/>
    </xf>
    <xf borderId="10" fillId="14" fontId="46" numFmtId="0" xfId="0" applyAlignment="1" applyBorder="1" applyFont="1">
      <alignment vertical="bottom"/>
    </xf>
    <xf borderId="0" fillId="14" fontId="46" numFmtId="0" xfId="0" applyAlignment="1" applyFont="1">
      <alignment vertical="bottom"/>
    </xf>
    <xf borderId="8" fillId="14" fontId="46" numFmtId="0" xfId="0" applyAlignment="1" applyBorder="1" applyFont="1">
      <alignment vertical="bottom"/>
    </xf>
    <xf borderId="11" fillId="14" fontId="46" numFmtId="0" xfId="0" applyAlignment="1" applyBorder="1" applyFont="1">
      <alignment vertical="bottom"/>
    </xf>
    <xf borderId="11" fillId="14" fontId="46" numFmtId="0" xfId="0" applyAlignment="1" applyBorder="1" applyFont="1">
      <alignment vertical="bottom"/>
    </xf>
    <xf borderId="0" fillId="14" fontId="46" numFmtId="0" xfId="0" applyAlignment="1" applyFont="1">
      <alignment vertical="bottom"/>
    </xf>
    <xf borderId="0" fillId="2" fontId="47" numFmtId="0" xfId="0" applyAlignment="1" applyFont="1">
      <alignment readingOrder="0" shrinkToFit="0" vertical="center" wrapText="0"/>
    </xf>
    <xf borderId="0" fillId="2" fontId="48" numFmtId="0" xfId="0" applyAlignment="1" applyFont="1">
      <alignment shrinkToFit="0" wrapText="0"/>
    </xf>
    <xf borderId="0" fillId="0" fontId="24" numFmtId="0" xfId="0" applyAlignment="1" applyFont="1">
      <alignment vertical="bottom"/>
    </xf>
    <xf borderId="0" fillId="0" fontId="49" numFmtId="0" xfId="0" applyAlignment="1" applyFont="1">
      <alignment vertical="bottom"/>
    </xf>
    <xf borderId="0" fillId="0" fontId="49" numFmtId="0" xfId="0" applyAlignment="1" applyFont="1">
      <alignment horizontal="right" vertical="bottom"/>
    </xf>
    <xf borderId="8" fillId="2" fontId="50" numFmtId="0" xfId="0" applyAlignment="1" applyBorder="1" applyFont="1">
      <alignment vertical="bottom"/>
    </xf>
    <xf borderId="0" fillId="0" fontId="50" numFmtId="0" xfId="0" applyAlignment="1" applyFont="1">
      <alignment vertical="bottom"/>
    </xf>
    <xf borderId="0" fillId="0" fontId="50" numFmtId="0" xfId="0" applyAlignment="1" applyFont="1">
      <alignment horizontal="right" vertical="bottom"/>
    </xf>
    <xf borderId="0" fillId="0" fontId="47" numFmtId="0" xfId="0" applyAlignment="1" applyFont="1">
      <alignment readingOrder="0" shrinkToFit="0" vertical="center" wrapText="0"/>
    </xf>
    <xf borderId="0" fillId="0" fontId="48" numFmtId="0" xfId="0" applyAlignment="1" applyFont="1">
      <alignment shrinkToFit="0" wrapText="0"/>
    </xf>
    <xf borderId="0" fillId="0" fontId="24" numFmtId="0" xfId="0" applyAlignment="1" applyFont="1">
      <alignment vertical="bottom"/>
    </xf>
    <xf borderId="8" fillId="2" fontId="51" numFmtId="0" xfId="0" applyAlignment="1" applyBorder="1" applyFont="1">
      <alignment vertical="bottom"/>
    </xf>
    <xf borderId="0" fillId="0" fontId="50" numFmtId="0" xfId="0" applyAlignment="1" applyFont="1">
      <alignment vertical="bottom"/>
    </xf>
    <xf borderId="12" fillId="15" fontId="52" numFmtId="0" xfId="0" applyAlignment="1" applyBorder="1" applyFill="1" applyFont="1">
      <alignment horizontal="center" readingOrder="0" shrinkToFit="0" wrapText="0"/>
    </xf>
    <xf borderId="13" fillId="15" fontId="52" numFmtId="0" xfId="0" applyAlignment="1" applyBorder="1" applyFont="1">
      <alignment horizontal="center" shrinkToFit="0" wrapText="0"/>
    </xf>
    <xf borderId="0" fillId="0" fontId="53" numFmtId="0" xfId="0" applyAlignment="1" applyFont="1">
      <alignment readingOrder="0" shrinkToFit="0" wrapText="0"/>
    </xf>
    <xf borderId="1" fillId="0" fontId="50" numFmtId="0" xfId="0" applyAlignment="1" applyBorder="1" applyFont="1">
      <alignment vertical="bottom"/>
    </xf>
    <xf borderId="1" fillId="0" fontId="50" numFmtId="0" xfId="0" applyAlignment="1" applyBorder="1" applyFont="1">
      <alignment horizontal="right" vertical="bottom"/>
    </xf>
    <xf borderId="0" fillId="0" fontId="17" numFmtId="0" xfId="0" applyAlignment="1" applyFont="1">
      <alignment horizontal="right" vertical="bottom"/>
    </xf>
    <xf borderId="0" fillId="2" fontId="54" numFmtId="0" xfId="0" applyAlignment="1" applyFont="1">
      <alignment vertical="bottom"/>
    </xf>
    <xf borderId="0" fillId="0" fontId="48" numFmtId="0" xfId="0" applyAlignment="1" applyFont="1">
      <alignment readingOrder="0" shrinkToFit="0" wrapText="0"/>
    </xf>
    <xf borderId="0" fillId="0" fontId="51" numFmtId="0" xfId="0" applyAlignment="1" applyFont="1">
      <alignment vertical="bottom"/>
    </xf>
    <xf borderId="0" fillId="0" fontId="51" numFmtId="0" xfId="0" applyAlignment="1" applyFont="1">
      <alignment vertical="bottom"/>
    </xf>
    <xf borderId="0" fillId="0" fontId="50" numFmtId="0" xfId="0" applyAlignment="1" applyFont="1">
      <alignment horizontal="right" vertical="bottom"/>
    </xf>
  </cellXfs>
  <cellStyles count="1">
    <cellStyle xfId="0" name="Normal" builtinId="0"/>
  </cellStyles>
  <dxfs count="11">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9900"/>
          <bgColor rgb="FFFF9900"/>
        </patternFill>
      </fill>
      <border/>
    </dxf>
    <dxf>
      <font/>
      <fill>
        <patternFill patternType="solid">
          <fgColor rgb="FFF4CCCC"/>
          <bgColor rgb="FFF4CCCC"/>
        </patternFill>
      </fill>
      <border/>
    </dxf>
    <dxf>
      <font/>
      <fill>
        <patternFill patternType="solid">
          <fgColor rgb="FFF9CB9C"/>
          <bgColor rgb="FFF9CB9C"/>
        </patternFill>
      </fill>
      <border/>
    </dxf>
    <dxf>
      <font/>
      <fill>
        <patternFill patternType="solid">
          <fgColor rgb="FFCC0000"/>
          <bgColor rgb="FFCC0000"/>
        </patternFill>
      </fill>
      <border/>
    </dxf>
    <dxf>
      <font/>
      <fill>
        <patternFill patternType="solid">
          <fgColor rgb="FFFFF2CC"/>
          <bgColor rgb="FFFFF2CC"/>
        </patternFill>
      </fill>
      <border/>
    </dxf>
    <dxf>
      <font/>
      <fill>
        <patternFill patternType="solid">
          <fgColor rgb="FFE6B8AF"/>
          <bgColor rgb="FFE6B8AF"/>
        </patternFill>
      </fill>
      <border/>
    </dxf>
    <dxf>
      <font/>
      <fill>
        <patternFill patternType="solid">
          <fgColor rgb="FF434343"/>
          <bgColor rgb="FF43434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dropbox.com/scl/fi/7safoetk4p2k4vwi29k4c/Receba-789294845633-UPC.jpg?rlkey=3vty6hb78ol10iv3y6h4md8h3&amp;st=m30ox0p4&amp;dl=1" TargetMode="External"/><Relationship Id="rId3" Type="http://schemas.openxmlformats.org/officeDocument/2006/relationships/hyperlink" Target="https://www.dropbox.com/scl/fi/wky0ryb739s0xs3wo5qop/A-Cl-usula-do-Contrato-789294962088-UPC.jpg?rlkey=91bp85llgb8ho5lnfcs56105s&amp;st=dn12pxrd&amp;dl=1"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dropbox.com/scl/fi/7safoetk4p2k4vwi29k4c/Receba-789294845633-UPC.jpg?rlkey=3vty6hb78ol10iv3y6h4md8h3&amp;st=m30ox0p4&amp;dl=1" TargetMode="External"/><Relationship Id="rId3" Type="http://schemas.openxmlformats.org/officeDocument/2006/relationships/hyperlink" Target="https://www.dropbox.com/scl/fi/wky0ryb739s0xs3wo5qop/A-Cl-usula-do-Contrato-789294962088-UPC.jpg?rlkey=91bp85llgb8ho5lnfcs56105s&amp;st=dn12pxrd&amp;dl=1" TargetMode="Externa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dropbox.com/scl/fi/g6ch1pcun31eep1am9mkv/Receba-789294845633-UPC.flac?rlkey=mxh9w3x6d82jmu7mmv2a9trio&amp;st=i02exo9k&amp;dl=1" TargetMode="External"/><Relationship Id="rId3" Type="http://schemas.openxmlformats.org/officeDocument/2006/relationships/hyperlink" Target="https://www.dropbox.com/scl/fi/i5lnp58jvdvz99rmvukp3/A-Cl-usula-do-Contrato-789294962088-UPC.flac?rlkey=hr2u9fvf5lq6u33enhqm3ui3f&amp;st=m6hlmmgt&amp;dl=1" TargetMode="Externa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artlistdata.blob.core.windows.net/artlist-artistpage/Assaf_Ayalon_-_P_-_3000.jpg" TargetMode="External"/><Relationship Id="rId3" Type="http://schemas.openxmlformats.org/officeDocument/2006/relationships/hyperlink" Target="https://artlistdata.blob.core.windows.net/artlist-images/Soul_Salvation_-_3000_-_18.6.19.jpg" TargetMode="External"/><Relationship Id="rId4" Type="http://schemas.openxmlformats.org/officeDocument/2006/relationships/hyperlink" Target="https://artlistdata.blob.core.windows.net/artlist-wave/Soul_Salvation_-_Soul_Salvation_-_Master_(16-44.1).wav" TargetMode="External"/><Relationship Id="rId5" Type="http://schemas.openxmlformats.org/officeDocument/2006/relationships/hyperlink" Target="https://artlistdata.blob.core.windows.net/artlist-wave/Soul_Salvation_-_Soul_Salvation_-_Instrumental_-_Master_(16-44.1).wav" TargetMode="External"/><Relationship Id="rId6" Type="http://schemas.openxmlformats.org/officeDocument/2006/relationships/hyperlink" Target="https://artlistdata.blob.core.windows.net/artlist-wave/Soul_Salvation_-_Going_Back_(16-44.1).wav" TargetMode="External"/><Relationship Id="rId7" Type="http://schemas.openxmlformats.org/officeDocument/2006/relationships/drawing" Target="../drawings/drawing11.xml"/><Relationship Id="rId8"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2" max="2" width="14.13"/>
  </cols>
  <sheetData>
    <row r="1">
      <c r="A1" s="1"/>
      <c r="B1" s="2" t="s">
        <v>0</v>
      </c>
      <c r="C1" s="1"/>
      <c r="D1" s="1"/>
      <c r="E1" s="1"/>
      <c r="F1" s="1"/>
      <c r="G1" s="1"/>
      <c r="H1" s="1"/>
      <c r="I1" s="1"/>
      <c r="J1" s="1"/>
      <c r="K1" s="1"/>
      <c r="L1" s="1"/>
      <c r="M1" s="1"/>
      <c r="N1" s="1"/>
      <c r="O1" s="1"/>
      <c r="P1" s="1"/>
    </row>
    <row r="2">
      <c r="A2" s="3" t="s">
        <v>1</v>
      </c>
      <c r="B2" s="4" t="s">
        <v>2</v>
      </c>
      <c r="C2" s="1"/>
      <c r="D2" s="1"/>
      <c r="E2" s="1"/>
      <c r="F2" s="1"/>
      <c r="G2" s="1"/>
      <c r="H2" s="1"/>
      <c r="I2" s="1"/>
      <c r="J2" s="1"/>
      <c r="K2" s="1"/>
      <c r="L2" s="1"/>
      <c r="M2" s="1"/>
      <c r="N2" s="1"/>
      <c r="O2" s="1"/>
      <c r="P2" s="1"/>
    </row>
    <row r="3">
      <c r="A3" s="3" t="s">
        <v>3</v>
      </c>
      <c r="B3" s="5" t="s">
        <v>4</v>
      </c>
      <c r="C3" s="1"/>
      <c r="D3" s="1"/>
      <c r="E3" s="1"/>
      <c r="F3" s="1"/>
      <c r="G3" s="1"/>
      <c r="H3" s="1"/>
      <c r="I3" s="1"/>
      <c r="J3" s="1"/>
      <c r="K3" s="1"/>
      <c r="L3" s="1"/>
      <c r="M3" s="1"/>
      <c r="N3" s="1"/>
      <c r="O3" s="1"/>
      <c r="P3" s="1"/>
    </row>
    <row r="4">
      <c r="A4" s="3" t="s">
        <v>5</v>
      </c>
      <c r="B4" s="6" t="s">
        <v>6</v>
      </c>
      <c r="C4" s="1"/>
      <c r="D4" s="1"/>
      <c r="E4" s="1"/>
      <c r="F4" s="1"/>
      <c r="G4" s="1"/>
      <c r="H4" s="1"/>
      <c r="I4" s="1"/>
      <c r="J4" s="1"/>
      <c r="K4" s="1"/>
      <c r="L4" s="1"/>
      <c r="M4" s="1"/>
      <c r="N4" s="1"/>
      <c r="O4" s="1"/>
      <c r="P4" s="1"/>
    </row>
    <row r="5">
      <c r="A5" s="1"/>
      <c r="B5" s="7" t="s">
        <v>7</v>
      </c>
      <c r="C5" s="1"/>
      <c r="D5" s="1"/>
      <c r="E5" s="1"/>
      <c r="F5" s="1"/>
      <c r="G5" s="1"/>
      <c r="H5" s="1"/>
      <c r="I5" s="1"/>
      <c r="J5" s="1"/>
      <c r="K5" s="1"/>
      <c r="L5" s="1"/>
      <c r="M5" s="1"/>
      <c r="N5" s="1"/>
      <c r="O5" s="1"/>
      <c r="P5" s="1"/>
    </row>
    <row r="6">
      <c r="A6" s="1"/>
      <c r="C6" s="1"/>
      <c r="D6" s="1"/>
      <c r="E6" s="1"/>
      <c r="F6" s="1"/>
      <c r="G6" s="1"/>
      <c r="H6" s="1"/>
      <c r="I6" s="1"/>
      <c r="J6" s="1"/>
      <c r="K6" s="1"/>
      <c r="L6" s="1"/>
      <c r="M6" s="1"/>
      <c r="N6" s="1"/>
      <c r="O6" s="1"/>
      <c r="P6" s="1"/>
    </row>
    <row r="7">
      <c r="A7" s="1"/>
      <c r="B7" s="6" t="s">
        <v>8</v>
      </c>
      <c r="C7" s="1"/>
      <c r="D7" s="1"/>
      <c r="E7" s="1"/>
      <c r="F7" s="1"/>
      <c r="G7" s="1"/>
      <c r="H7" s="1"/>
      <c r="I7" s="1"/>
      <c r="J7" s="1"/>
      <c r="K7" s="1"/>
      <c r="L7" s="1"/>
      <c r="M7" s="1"/>
      <c r="N7" s="1"/>
      <c r="O7" s="1"/>
      <c r="P7" s="1"/>
    </row>
    <row r="8">
      <c r="A8" s="1"/>
      <c r="B8" s="6"/>
      <c r="C8" s="1"/>
      <c r="D8" s="1"/>
      <c r="E8" s="1"/>
      <c r="F8" s="1"/>
      <c r="G8" s="1"/>
      <c r="H8" s="1"/>
      <c r="I8" s="1"/>
      <c r="J8" s="1"/>
      <c r="K8" s="1"/>
      <c r="L8" s="1"/>
      <c r="M8" s="1"/>
      <c r="N8" s="1"/>
      <c r="O8" s="1"/>
      <c r="P8" s="1"/>
    </row>
    <row r="9">
      <c r="A9" s="1"/>
      <c r="B9" s="6" t="s">
        <v>9</v>
      </c>
      <c r="C9" s="1"/>
      <c r="D9" s="1"/>
      <c r="E9" s="1"/>
      <c r="F9" s="1"/>
      <c r="G9" s="1"/>
      <c r="H9" s="1"/>
      <c r="I9" s="1"/>
      <c r="J9" s="1"/>
      <c r="K9" s="1"/>
      <c r="L9" s="1"/>
      <c r="M9" s="1"/>
      <c r="N9" s="1"/>
      <c r="O9" s="1"/>
      <c r="P9" s="1"/>
    </row>
    <row r="10">
      <c r="A10" s="1"/>
      <c r="B10" s="6" t="s">
        <v>10</v>
      </c>
      <c r="C10" s="1"/>
      <c r="D10" s="1"/>
      <c r="E10" s="1"/>
      <c r="F10" s="1"/>
      <c r="G10" s="1"/>
      <c r="H10" s="1"/>
      <c r="I10" s="1"/>
      <c r="J10" s="1"/>
      <c r="K10" s="1"/>
      <c r="L10" s="1"/>
      <c r="M10" s="1"/>
      <c r="N10" s="1"/>
      <c r="O10" s="1"/>
      <c r="P10" s="1"/>
    </row>
    <row r="11">
      <c r="A11" s="1"/>
      <c r="B11" s="6" t="s">
        <v>11</v>
      </c>
      <c r="C11" s="1"/>
      <c r="D11" s="1"/>
      <c r="E11" s="1"/>
      <c r="F11" s="1"/>
      <c r="G11" s="1"/>
      <c r="H11" s="1"/>
      <c r="I11" s="1"/>
      <c r="J11" s="1"/>
      <c r="K11" s="1"/>
      <c r="L11" s="1"/>
      <c r="M11" s="1"/>
      <c r="N11" s="1"/>
      <c r="O11" s="1"/>
      <c r="P11" s="1"/>
    </row>
    <row r="12">
      <c r="A12" s="1"/>
      <c r="B12" s="6"/>
      <c r="C12" s="1"/>
      <c r="D12" s="1"/>
      <c r="E12" s="1"/>
      <c r="F12" s="1"/>
      <c r="G12" s="1"/>
      <c r="H12" s="1"/>
      <c r="I12" s="1"/>
      <c r="J12" s="1"/>
      <c r="K12" s="1"/>
      <c r="L12" s="1"/>
      <c r="M12" s="1"/>
      <c r="N12" s="1"/>
      <c r="O12" s="1"/>
      <c r="P12" s="1"/>
    </row>
    <row r="13">
      <c r="A13" s="1"/>
      <c r="B13" s="6" t="s">
        <v>12</v>
      </c>
      <c r="C13" s="1"/>
      <c r="D13" s="1"/>
      <c r="E13" s="1"/>
      <c r="F13" s="1"/>
      <c r="G13" s="1"/>
      <c r="H13" s="1"/>
      <c r="I13" s="1"/>
      <c r="J13" s="1"/>
      <c r="K13" s="1"/>
      <c r="L13" s="1"/>
      <c r="M13" s="1"/>
      <c r="N13" s="1"/>
      <c r="O13" s="1"/>
      <c r="P13" s="1"/>
    </row>
    <row r="14">
      <c r="A14" s="1"/>
      <c r="B14" s="1"/>
      <c r="C14" s="1"/>
      <c r="D14" s="1"/>
      <c r="E14" s="1"/>
      <c r="F14" s="1"/>
      <c r="G14" s="1"/>
      <c r="H14" s="1"/>
      <c r="I14" s="1"/>
      <c r="J14" s="1"/>
      <c r="K14" s="1"/>
      <c r="L14" s="1"/>
      <c r="M14" s="1"/>
      <c r="N14" s="1"/>
      <c r="O14" s="1"/>
      <c r="P14" s="1"/>
    </row>
    <row r="15">
      <c r="A15" s="1"/>
      <c r="B15" s="8" t="s">
        <v>13</v>
      </c>
      <c r="C15" s="1"/>
      <c r="D15" s="1"/>
      <c r="E15" s="1"/>
      <c r="F15" s="1"/>
      <c r="G15" s="1"/>
      <c r="H15" s="1"/>
      <c r="I15" s="1"/>
      <c r="J15" s="1"/>
      <c r="K15" s="1"/>
      <c r="L15" s="1"/>
      <c r="M15" s="1"/>
      <c r="N15" s="1"/>
      <c r="O15" s="1"/>
      <c r="P15" s="1"/>
    </row>
    <row r="16">
      <c r="A16" s="1"/>
      <c r="B16" s="8" t="s">
        <v>14</v>
      </c>
      <c r="C16" s="1"/>
      <c r="D16" s="1"/>
      <c r="E16" s="1"/>
      <c r="F16" s="1"/>
      <c r="G16" s="1"/>
      <c r="H16" s="1"/>
      <c r="I16" s="1"/>
      <c r="J16" s="1"/>
      <c r="K16" s="1"/>
      <c r="L16" s="1"/>
      <c r="M16" s="1"/>
      <c r="N16" s="1"/>
      <c r="O16" s="1"/>
      <c r="P16" s="1"/>
    </row>
    <row r="17">
      <c r="A17" s="1"/>
      <c r="B17" s="9"/>
      <c r="C17" s="1"/>
      <c r="D17" s="1"/>
      <c r="E17" s="1"/>
      <c r="F17" s="1"/>
      <c r="G17" s="1"/>
      <c r="H17" s="1"/>
      <c r="I17" s="1"/>
      <c r="J17" s="1"/>
      <c r="K17" s="1"/>
      <c r="L17" s="1"/>
      <c r="M17" s="1"/>
      <c r="N17" s="1"/>
      <c r="O17" s="1"/>
      <c r="P17" s="1"/>
    </row>
    <row r="18">
      <c r="A18" s="1"/>
      <c r="B18" s="10" t="s">
        <v>15</v>
      </c>
      <c r="C18" s="1"/>
      <c r="D18" s="1"/>
      <c r="E18" s="1"/>
      <c r="F18" s="1"/>
      <c r="G18" s="1"/>
      <c r="H18" s="1"/>
      <c r="I18" s="1"/>
      <c r="J18" s="1"/>
      <c r="K18" s="1"/>
      <c r="L18" s="1"/>
      <c r="M18" s="1"/>
      <c r="N18" s="1"/>
      <c r="O18" s="1"/>
      <c r="P18" s="1"/>
    </row>
    <row r="19">
      <c r="A19" s="1"/>
      <c r="B19" s="6"/>
      <c r="C19" s="1"/>
      <c r="D19" s="1"/>
      <c r="E19" s="1"/>
      <c r="F19" s="1"/>
      <c r="G19" s="1"/>
      <c r="H19" s="1"/>
      <c r="I19" s="1"/>
      <c r="J19" s="1"/>
      <c r="K19" s="1"/>
      <c r="L19" s="1"/>
      <c r="M19" s="1"/>
      <c r="N19" s="1"/>
      <c r="O19" s="1"/>
      <c r="P19" s="1"/>
    </row>
    <row r="20">
      <c r="A20" s="1"/>
      <c r="B20" s="1"/>
      <c r="C20" s="1"/>
      <c r="D20" s="1"/>
      <c r="E20" s="1"/>
      <c r="F20" s="1"/>
      <c r="G20" s="1"/>
      <c r="H20" s="1"/>
      <c r="I20" s="1"/>
      <c r="J20" s="1"/>
      <c r="K20" s="1"/>
      <c r="L20" s="1"/>
      <c r="M20" s="1"/>
      <c r="N20" s="1"/>
      <c r="O20" s="1"/>
      <c r="P20" s="1"/>
    </row>
    <row r="21">
      <c r="A21" s="1"/>
      <c r="B21" s="11" t="s">
        <v>16</v>
      </c>
      <c r="C21" s="1"/>
      <c r="D21" s="1"/>
      <c r="E21" s="1"/>
      <c r="F21" s="1"/>
      <c r="G21" s="1"/>
      <c r="H21" s="1"/>
      <c r="I21" s="1"/>
      <c r="J21" s="1"/>
      <c r="K21" s="1"/>
      <c r="L21" s="1"/>
      <c r="M21" s="1"/>
      <c r="N21" s="1"/>
      <c r="O21" s="1"/>
      <c r="P21" s="1"/>
    </row>
    <row r="22">
      <c r="A22" s="1"/>
      <c r="B22" s="12" t="s">
        <v>17</v>
      </c>
      <c r="C22" s="1"/>
      <c r="D22" s="1"/>
      <c r="E22" s="1"/>
      <c r="F22" s="1"/>
      <c r="G22" s="1"/>
      <c r="H22" s="1"/>
      <c r="I22" s="1"/>
      <c r="J22" s="1"/>
      <c r="K22" s="1"/>
      <c r="L22" s="1"/>
      <c r="M22" s="1"/>
      <c r="N22" s="1"/>
      <c r="O22" s="1"/>
      <c r="P22" s="1"/>
    </row>
    <row r="23">
      <c r="A23" s="1"/>
      <c r="B23" s="12" t="s">
        <v>18</v>
      </c>
      <c r="C23" s="1"/>
      <c r="D23" s="1"/>
      <c r="E23" s="1"/>
      <c r="F23" s="1"/>
      <c r="G23" s="1"/>
      <c r="H23" s="1"/>
      <c r="I23" s="1"/>
      <c r="J23" s="1"/>
      <c r="K23" s="1"/>
      <c r="L23" s="1"/>
      <c r="M23" s="1"/>
      <c r="N23" s="1"/>
      <c r="O23" s="1"/>
      <c r="P23" s="1"/>
    </row>
    <row r="24">
      <c r="A24" s="1"/>
      <c r="B24" s="12" t="s">
        <v>19</v>
      </c>
      <c r="C24" s="1"/>
      <c r="D24" s="1"/>
      <c r="E24" s="1"/>
      <c r="F24" s="1"/>
      <c r="G24" s="1"/>
      <c r="H24" s="1"/>
      <c r="I24" s="1"/>
      <c r="J24" s="1"/>
      <c r="K24" s="1"/>
      <c r="L24" s="1"/>
      <c r="M24" s="1"/>
      <c r="N24" s="1"/>
      <c r="O24" s="1"/>
      <c r="P24" s="1"/>
    </row>
    <row r="25">
      <c r="A25" s="1"/>
      <c r="B25" s="12" t="s">
        <v>20</v>
      </c>
      <c r="C25" s="1"/>
      <c r="D25" s="1"/>
      <c r="E25" s="1"/>
      <c r="F25" s="1"/>
      <c r="G25" s="1"/>
      <c r="H25" s="1"/>
      <c r="I25" s="1"/>
      <c r="J25" s="1"/>
      <c r="K25" s="1"/>
      <c r="L25" s="1"/>
      <c r="M25" s="1"/>
      <c r="N25" s="1"/>
      <c r="O25" s="1"/>
      <c r="P25" s="1"/>
    </row>
    <row r="26">
      <c r="A26" s="1"/>
      <c r="B26" s="12" t="s">
        <v>21</v>
      </c>
      <c r="C26" s="1"/>
      <c r="D26" s="1"/>
      <c r="E26" s="1"/>
      <c r="F26" s="1"/>
      <c r="G26" s="1"/>
      <c r="H26" s="1"/>
      <c r="I26" s="1"/>
      <c r="J26" s="1"/>
      <c r="K26" s="1"/>
      <c r="L26" s="1"/>
      <c r="M26" s="1"/>
      <c r="N26" s="1"/>
      <c r="O26" s="1"/>
      <c r="P26" s="1"/>
    </row>
    <row r="27">
      <c r="A27" s="1"/>
      <c r="B27" s="11"/>
      <c r="C27" s="1"/>
      <c r="D27" s="1"/>
      <c r="E27" s="1"/>
      <c r="F27" s="1"/>
      <c r="G27" s="1"/>
      <c r="H27" s="1"/>
      <c r="I27" s="1"/>
      <c r="J27" s="1"/>
      <c r="K27" s="1"/>
      <c r="L27" s="1"/>
      <c r="M27" s="1"/>
      <c r="N27" s="1"/>
      <c r="O27" s="1"/>
      <c r="P27" s="1"/>
    </row>
    <row r="28">
      <c r="A28" s="1"/>
      <c r="B28" s="11" t="s">
        <v>22</v>
      </c>
      <c r="C28" s="1"/>
      <c r="D28" s="1"/>
      <c r="E28" s="1"/>
      <c r="F28" s="1"/>
      <c r="G28" s="1"/>
      <c r="H28" s="1"/>
      <c r="I28" s="1"/>
      <c r="J28" s="1"/>
      <c r="K28" s="1"/>
      <c r="L28" s="1"/>
      <c r="M28" s="1"/>
      <c r="N28" s="1"/>
      <c r="O28" s="1"/>
      <c r="P28" s="1"/>
    </row>
    <row r="29">
      <c r="A29" s="1"/>
      <c r="B29" s="12" t="s">
        <v>23</v>
      </c>
      <c r="C29" s="1"/>
      <c r="D29" s="1"/>
      <c r="E29" s="1"/>
      <c r="F29" s="1"/>
      <c r="G29" s="1"/>
      <c r="H29" s="1"/>
      <c r="I29" s="1"/>
      <c r="J29" s="1"/>
      <c r="K29" s="1"/>
      <c r="L29" s="1"/>
      <c r="M29" s="1"/>
      <c r="N29" s="1"/>
      <c r="O29" s="1"/>
      <c r="P29" s="1"/>
    </row>
    <row r="30">
      <c r="A30" s="1"/>
      <c r="B30" s="12" t="s">
        <v>24</v>
      </c>
      <c r="C30" s="1"/>
      <c r="D30" s="1"/>
      <c r="E30" s="1"/>
      <c r="F30" s="1"/>
      <c r="G30" s="1"/>
      <c r="H30" s="1"/>
      <c r="I30" s="1"/>
      <c r="J30" s="1"/>
      <c r="K30" s="1"/>
      <c r="L30" s="1"/>
      <c r="M30" s="1"/>
      <c r="N30" s="1"/>
      <c r="O30" s="1"/>
      <c r="P30" s="1"/>
    </row>
    <row r="31">
      <c r="A31" s="1"/>
      <c r="B31" s="1"/>
      <c r="C31" s="1"/>
      <c r="D31" s="1"/>
      <c r="E31" s="1"/>
      <c r="F31" s="1"/>
      <c r="G31" s="1"/>
      <c r="H31" s="1"/>
      <c r="I31" s="1"/>
      <c r="J31" s="1"/>
      <c r="K31" s="1"/>
      <c r="L31" s="1"/>
      <c r="M31" s="1"/>
      <c r="N31" s="1"/>
      <c r="O31" s="1"/>
      <c r="P31" s="1"/>
    </row>
    <row r="32">
      <c r="A32" s="1"/>
      <c r="B32" s="1"/>
      <c r="C32" s="1"/>
      <c r="D32" s="1"/>
      <c r="E32" s="1"/>
      <c r="F32" s="1"/>
      <c r="G32" s="1"/>
      <c r="H32" s="1"/>
      <c r="I32" s="1"/>
      <c r="J32" s="1"/>
      <c r="K32" s="1"/>
      <c r="L32" s="1"/>
      <c r="M32" s="1"/>
      <c r="N32" s="1"/>
      <c r="O32" s="1"/>
      <c r="P32" s="1"/>
    </row>
    <row r="33">
      <c r="A33" s="1"/>
      <c r="B33" s="1"/>
      <c r="C33" s="1"/>
      <c r="D33" s="1"/>
      <c r="E33" s="1"/>
      <c r="F33" s="1"/>
      <c r="G33" s="1"/>
      <c r="H33" s="1"/>
      <c r="I33" s="1"/>
      <c r="J33" s="1"/>
      <c r="K33" s="1"/>
      <c r="L33" s="1"/>
      <c r="M33" s="1"/>
      <c r="N33" s="1"/>
      <c r="O33" s="1"/>
      <c r="P33" s="1"/>
    </row>
    <row r="34">
      <c r="A34" s="1"/>
      <c r="B34" s="1"/>
      <c r="C34" s="1"/>
      <c r="D34" s="1"/>
      <c r="E34" s="1"/>
      <c r="F34" s="1"/>
      <c r="G34" s="1"/>
      <c r="H34" s="1"/>
      <c r="I34" s="1"/>
      <c r="J34" s="1"/>
      <c r="K34" s="1"/>
      <c r="L34" s="1"/>
      <c r="M34" s="1"/>
      <c r="N34" s="1"/>
      <c r="O34" s="1"/>
      <c r="P34" s="1"/>
    </row>
    <row r="35">
      <c r="A35" s="1"/>
      <c r="B35" s="1"/>
      <c r="C35" s="1"/>
      <c r="D35" s="1"/>
      <c r="E35" s="1"/>
      <c r="F35" s="1"/>
      <c r="G35" s="1"/>
      <c r="H35" s="1"/>
      <c r="I35" s="1"/>
      <c r="J35" s="1"/>
      <c r="K35" s="1"/>
      <c r="L35" s="1"/>
      <c r="M35" s="1"/>
      <c r="N35" s="1"/>
      <c r="O35" s="1"/>
      <c r="P35" s="1"/>
    </row>
    <row r="36">
      <c r="A36" s="1"/>
      <c r="B36" s="1"/>
      <c r="C36" s="1"/>
      <c r="D36" s="1"/>
      <c r="E36" s="1"/>
      <c r="F36" s="1"/>
      <c r="G36" s="1"/>
      <c r="H36" s="1"/>
      <c r="I36" s="1"/>
      <c r="J36" s="1"/>
      <c r="K36" s="1"/>
      <c r="L36" s="1"/>
      <c r="M36" s="1"/>
      <c r="N36" s="1"/>
      <c r="O36" s="1"/>
      <c r="P36" s="1"/>
    </row>
    <row r="37">
      <c r="A37" s="1"/>
      <c r="B37" s="1"/>
      <c r="C37" s="1"/>
      <c r="D37" s="1"/>
      <c r="E37" s="1"/>
      <c r="F37" s="1"/>
      <c r="G37" s="1"/>
      <c r="H37" s="1"/>
      <c r="I37" s="1"/>
      <c r="J37" s="1"/>
      <c r="K37" s="1"/>
      <c r="L37" s="1"/>
      <c r="M37" s="1"/>
      <c r="N37" s="1"/>
      <c r="O37" s="1"/>
      <c r="P37" s="1"/>
    </row>
    <row r="38">
      <c r="A38" s="1"/>
      <c r="B38" s="1"/>
      <c r="C38" s="1"/>
      <c r="D38" s="1"/>
      <c r="E38" s="1"/>
      <c r="F38" s="1"/>
      <c r="G38" s="1"/>
      <c r="H38" s="1"/>
      <c r="I38" s="1"/>
      <c r="J38" s="1"/>
      <c r="K38" s="1"/>
      <c r="L38" s="1"/>
      <c r="M38" s="1"/>
      <c r="N38" s="1"/>
      <c r="O38" s="1"/>
      <c r="P38" s="1"/>
    </row>
    <row r="39">
      <c r="A39" s="1"/>
      <c r="B39" s="1"/>
      <c r="C39" s="1"/>
      <c r="D39" s="1"/>
      <c r="E39" s="1"/>
      <c r="F39" s="1"/>
      <c r="G39" s="1"/>
      <c r="H39" s="1"/>
      <c r="I39" s="1"/>
      <c r="J39" s="1"/>
      <c r="K39" s="1"/>
      <c r="L39" s="1"/>
      <c r="M39" s="1"/>
      <c r="N39" s="1"/>
      <c r="O39" s="1"/>
      <c r="P39" s="1"/>
    </row>
    <row r="40">
      <c r="A40" s="1"/>
      <c r="B40" s="1"/>
      <c r="C40" s="1"/>
      <c r="D40" s="1"/>
      <c r="E40" s="1"/>
      <c r="F40" s="1"/>
      <c r="G40" s="1"/>
      <c r="H40" s="1"/>
      <c r="I40" s="1"/>
      <c r="J40" s="1"/>
      <c r="K40" s="1"/>
      <c r="L40" s="1"/>
      <c r="M40" s="1"/>
      <c r="N40" s="1"/>
      <c r="O40" s="1"/>
      <c r="P40" s="1"/>
    </row>
    <row r="41">
      <c r="A41" s="1"/>
      <c r="B41" s="1"/>
      <c r="C41" s="1"/>
      <c r="D41" s="1"/>
      <c r="E41" s="1"/>
      <c r="F41" s="1"/>
      <c r="G41" s="1"/>
      <c r="H41" s="1"/>
      <c r="I41" s="1"/>
      <c r="J41" s="1"/>
      <c r="K41" s="1"/>
      <c r="L41" s="1"/>
      <c r="M41" s="1"/>
      <c r="N41" s="1"/>
      <c r="O41" s="1"/>
      <c r="P41" s="1"/>
    </row>
    <row r="42">
      <c r="A42" s="1"/>
      <c r="B42" s="1"/>
      <c r="C42" s="1"/>
      <c r="D42" s="1"/>
      <c r="E42" s="1"/>
      <c r="F42" s="1"/>
      <c r="G42" s="1"/>
      <c r="H42" s="1"/>
      <c r="I42" s="1"/>
      <c r="J42" s="1"/>
      <c r="K42" s="1"/>
      <c r="L42" s="1"/>
      <c r="M42" s="1"/>
      <c r="N42" s="1"/>
      <c r="O42" s="1"/>
      <c r="P42" s="1"/>
    </row>
    <row r="43">
      <c r="A43" s="1"/>
      <c r="B43" s="1"/>
      <c r="C43" s="1"/>
      <c r="D43" s="1"/>
      <c r="E43" s="1"/>
      <c r="F43" s="1"/>
      <c r="G43" s="1"/>
      <c r="H43" s="1"/>
      <c r="I43" s="1"/>
      <c r="J43" s="1"/>
      <c r="K43" s="1"/>
      <c r="L43" s="1"/>
      <c r="M43" s="1"/>
      <c r="N43" s="1"/>
      <c r="O43" s="1"/>
      <c r="P43" s="1"/>
    </row>
    <row r="44">
      <c r="A44" s="1"/>
      <c r="B44" s="1"/>
      <c r="C44" s="1"/>
      <c r="D44" s="1"/>
      <c r="E44" s="1"/>
      <c r="F44" s="1"/>
      <c r="G44" s="1"/>
      <c r="H44" s="1"/>
      <c r="I44" s="1"/>
      <c r="J44" s="1"/>
      <c r="K44" s="1"/>
      <c r="L44" s="1"/>
      <c r="M44" s="1"/>
      <c r="N44" s="1"/>
      <c r="O44" s="1"/>
      <c r="P44" s="1"/>
    </row>
    <row r="45">
      <c r="A45" s="1"/>
      <c r="B45" s="1"/>
      <c r="C45" s="1"/>
      <c r="D45" s="1"/>
      <c r="E45" s="1"/>
      <c r="F45" s="1"/>
      <c r="G45" s="1"/>
      <c r="H45" s="1"/>
      <c r="I45" s="1"/>
      <c r="J45" s="1"/>
      <c r="K45" s="1"/>
      <c r="L45" s="1"/>
      <c r="M45" s="1"/>
      <c r="N45" s="1"/>
      <c r="O45" s="1"/>
      <c r="P45" s="1"/>
    </row>
    <row r="46">
      <c r="A46" s="1"/>
      <c r="B46" s="1"/>
      <c r="C46" s="1"/>
      <c r="D46" s="1"/>
      <c r="E46" s="1"/>
      <c r="F46" s="1"/>
      <c r="G46" s="1"/>
      <c r="H46" s="1"/>
      <c r="I46" s="1"/>
      <c r="J46" s="1"/>
      <c r="K46" s="1"/>
      <c r="L46" s="1"/>
      <c r="M46" s="1"/>
      <c r="N46" s="1"/>
      <c r="O46" s="1"/>
      <c r="P46" s="1"/>
    </row>
    <row r="47">
      <c r="A47" s="1"/>
      <c r="B47" s="1"/>
      <c r="C47" s="1"/>
      <c r="D47" s="1"/>
      <c r="E47" s="1"/>
      <c r="F47" s="1"/>
      <c r="G47" s="1"/>
      <c r="H47" s="1"/>
      <c r="I47" s="1"/>
      <c r="J47" s="1"/>
      <c r="K47" s="1"/>
      <c r="L47" s="1"/>
      <c r="M47" s="1"/>
      <c r="N47" s="1"/>
      <c r="O47" s="1"/>
      <c r="P47" s="1"/>
    </row>
    <row r="48">
      <c r="A48" s="1"/>
      <c r="B48" s="1"/>
      <c r="C48" s="1"/>
      <c r="D48" s="1"/>
      <c r="E48" s="1"/>
      <c r="F48" s="1"/>
      <c r="G48" s="1"/>
      <c r="H48" s="1"/>
      <c r="I48" s="1"/>
      <c r="J48" s="1"/>
      <c r="K48" s="1"/>
      <c r="L48" s="1"/>
      <c r="M48" s="1"/>
      <c r="N48" s="1"/>
      <c r="O48" s="1"/>
      <c r="P48" s="1"/>
    </row>
    <row r="49">
      <c r="A49" s="1"/>
      <c r="B49" s="1"/>
      <c r="C49" s="1"/>
      <c r="D49" s="1"/>
      <c r="E49" s="1"/>
      <c r="F49" s="1"/>
      <c r="G49" s="1"/>
      <c r="H49" s="1"/>
      <c r="I49" s="1"/>
      <c r="J49" s="1"/>
      <c r="K49" s="1"/>
      <c r="L49" s="1"/>
      <c r="M49" s="1"/>
      <c r="N49" s="1"/>
      <c r="O49" s="1"/>
      <c r="P49" s="1"/>
    </row>
    <row r="50">
      <c r="A50" s="1"/>
      <c r="B50" s="1"/>
      <c r="C50" s="1"/>
      <c r="D50" s="1"/>
      <c r="E50" s="1"/>
      <c r="F50" s="1"/>
      <c r="G50" s="1"/>
      <c r="H50" s="1"/>
      <c r="I50" s="1"/>
      <c r="J50" s="1"/>
      <c r="K50" s="1"/>
      <c r="L50" s="1"/>
      <c r="M50" s="1"/>
      <c r="N50" s="1"/>
      <c r="O50" s="1"/>
      <c r="P50" s="1"/>
    </row>
    <row r="51">
      <c r="A51" s="1"/>
      <c r="B51" s="1"/>
      <c r="C51" s="1"/>
      <c r="D51" s="1"/>
      <c r="E51" s="1"/>
      <c r="F51" s="1"/>
      <c r="G51" s="1"/>
      <c r="H51" s="1"/>
      <c r="I51" s="1"/>
      <c r="J51" s="1"/>
      <c r="K51" s="1"/>
      <c r="L51" s="1"/>
      <c r="M51" s="1"/>
      <c r="N51" s="1"/>
      <c r="O51" s="1"/>
      <c r="P51" s="1"/>
    </row>
    <row r="52">
      <c r="A52" s="1"/>
      <c r="B52" s="1"/>
      <c r="C52" s="1"/>
      <c r="D52" s="1"/>
      <c r="E52" s="1"/>
      <c r="F52" s="1"/>
      <c r="G52" s="1"/>
      <c r="H52" s="1"/>
      <c r="I52" s="1"/>
      <c r="J52" s="1"/>
      <c r="K52" s="1"/>
      <c r="L52" s="1"/>
      <c r="M52" s="1"/>
      <c r="N52" s="1"/>
      <c r="O52" s="1"/>
      <c r="P52" s="1"/>
    </row>
    <row r="53">
      <c r="A53" s="1"/>
      <c r="B53" s="1"/>
      <c r="C53" s="1"/>
      <c r="D53" s="1"/>
      <c r="E53" s="1"/>
      <c r="F53" s="1"/>
      <c r="G53" s="1"/>
      <c r="H53" s="1"/>
      <c r="I53" s="1"/>
      <c r="J53" s="1"/>
      <c r="K53" s="1"/>
      <c r="L53" s="1"/>
      <c r="M53" s="1"/>
      <c r="N53" s="1"/>
      <c r="O53" s="1"/>
      <c r="P53" s="1"/>
    </row>
    <row r="54">
      <c r="A54" s="1"/>
      <c r="B54" s="1"/>
      <c r="C54" s="1"/>
      <c r="D54" s="1"/>
      <c r="E54" s="1"/>
      <c r="F54" s="1"/>
      <c r="G54" s="1"/>
      <c r="H54" s="1"/>
      <c r="I54" s="1"/>
      <c r="J54" s="1"/>
      <c r="K54" s="1"/>
      <c r="L54" s="1"/>
      <c r="M54" s="1"/>
      <c r="N54" s="1"/>
      <c r="O54" s="1"/>
      <c r="P54" s="1"/>
    </row>
    <row r="55">
      <c r="A55" s="1"/>
      <c r="B55" s="1"/>
      <c r="C55" s="1"/>
      <c r="D55" s="1"/>
      <c r="E55" s="1"/>
      <c r="F55" s="1"/>
      <c r="G55" s="1"/>
      <c r="H55" s="1"/>
      <c r="I55" s="1"/>
      <c r="J55" s="1"/>
      <c r="K55" s="1"/>
      <c r="L55" s="1"/>
      <c r="M55" s="1"/>
      <c r="N55" s="1"/>
      <c r="O55" s="1"/>
      <c r="P55" s="1"/>
    </row>
    <row r="56">
      <c r="A56" s="1"/>
      <c r="B56" s="1"/>
      <c r="C56" s="1"/>
      <c r="D56" s="1"/>
      <c r="E56" s="1"/>
      <c r="F56" s="1"/>
      <c r="G56" s="1"/>
      <c r="H56" s="1"/>
      <c r="I56" s="1"/>
      <c r="J56" s="1"/>
      <c r="K56" s="1"/>
      <c r="L56" s="1"/>
      <c r="M56" s="1"/>
      <c r="N56" s="1"/>
      <c r="O56" s="1"/>
      <c r="P56" s="1"/>
    </row>
    <row r="57">
      <c r="A57" s="1"/>
      <c r="B57" s="1"/>
      <c r="C57" s="1"/>
      <c r="D57" s="1"/>
      <c r="E57" s="1"/>
      <c r="F57" s="1"/>
      <c r="G57" s="1"/>
      <c r="H57" s="1"/>
      <c r="I57" s="1"/>
      <c r="J57" s="1"/>
      <c r="K57" s="1"/>
      <c r="L57" s="1"/>
      <c r="M57" s="1"/>
      <c r="N57" s="1"/>
      <c r="O57" s="1"/>
      <c r="P57" s="1"/>
    </row>
    <row r="58">
      <c r="A58" s="1"/>
      <c r="B58" s="1"/>
      <c r="C58" s="1"/>
      <c r="D58" s="1"/>
      <c r="E58" s="1"/>
      <c r="F58" s="1"/>
      <c r="G58" s="1"/>
      <c r="H58" s="1"/>
      <c r="I58" s="1"/>
      <c r="J58" s="1"/>
      <c r="K58" s="1"/>
      <c r="L58" s="1"/>
      <c r="M58" s="1"/>
      <c r="N58" s="1"/>
      <c r="O58" s="1"/>
      <c r="P58" s="1"/>
    </row>
    <row r="59">
      <c r="A59" s="1"/>
      <c r="B59" s="1"/>
      <c r="C59" s="1"/>
      <c r="D59" s="1"/>
      <c r="E59" s="1"/>
      <c r="F59" s="1"/>
      <c r="G59" s="1"/>
      <c r="H59" s="1"/>
      <c r="I59" s="1"/>
      <c r="J59" s="1"/>
      <c r="K59" s="1"/>
      <c r="L59" s="1"/>
      <c r="M59" s="1"/>
      <c r="N59" s="1"/>
      <c r="O59" s="1"/>
      <c r="P59" s="1"/>
    </row>
    <row r="60">
      <c r="A60" s="1"/>
      <c r="B60" s="1"/>
      <c r="C60" s="1"/>
      <c r="D60" s="1"/>
      <c r="E60" s="1"/>
      <c r="F60" s="1"/>
      <c r="G60" s="1"/>
      <c r="H60" s="1"/>
      <c r="I60" s="1"/>
      <c r="J60" s="1"/>
      <c r="K60" s="1"/>
      <c r="L60" s="1"/>
      <c r="M60" s="1"/>
      <c r="N60" s="1"/>
      <c r="O60" s="1"/>
      <c r="P60" s="1"/>
    </row>
    <row r="61">
      <c r="A61" s="1"/>
      <c r="B61" s="1"/>
      <c r="C61" s="1"/>
      <c r="D61" s="1"/>
      <c r="E61" s="1"/>
      <c r="F61" s="1"/>
      <c r="G61" s="1"/>
      <c r="H61" s="1"/>
      <c r="I61" s="1"/>
      <c r="J61" s="1"/>
      <c r="K61" s="1"/>
      <c r="L61" s="1"/>
      <c r="M61" s="1"/>
      <c r="N61" s="1"/>
      <c r="O61" s="1"/>
      <c r="P61" s="1"/>
    </row>
    <row r="62">
      <c r="A62" s="1"/>
      <c r="B62" s="1"/>
      <c r="C62" s="1"/>
      <c r="D62" s="1"/>
      <c r="E62" s="1"/>
      <c r="F62" s="1"/>
      <c r="G62" s="1"/>
      <c r="H62" s="1"/>
      <c r="I62" s="1"/>
      <c r="J62" s="1"/>
      <c r="K62" s="1"/>
      <c r="L62" s="1"/>
      <c r="M62" s="1"/>
      <c r="N62" s="1"/>
      <c r="O62" s="1"/>
      <c r="P62" s="1"/>
    </row>
    <row r="63">
      <c r="A63" s="1"/>
      <c r="B63" s="1"/>
      <c r="C63" s="1"/>
      <c r="D63" s="1"/>
      <c r="E63" s="1"/>
      <c r="F63" s="1"/>
      <c r="G63" s="1"/>
      <c r="H63" s="1"/>
      <c r="I63" s="1"/>
      <c r="J63" s="1"/>
      <c r="K63" s="1"/>
      <c r="L63" s="1"/>
      <c r="M63" s="1"/>
      <c r="N63" s="1"/>
      <c r="O63" s="1"/>
      <c r="P63" s="1"/>
    </row>
    <row r="64">
      <c r="A64" s="1"/>
      <c r="B64" s="1"/>
      <c r="C64" s="1"/>
      <c r="D64" s="1"/>
      <c r="E64" s="1"/>
      <c r="F64" s="1"/>
      <c r="G64" s="1"/>
      <c r="H64" s="1"/>
      <c r="I64" s="1"/>
      <c r="J64" s="1"/>
      <c r="K64" s="1"/>
      <c r="L64" s="1"/>
      <c r="M64" s="1"/>
      <c r="N64" s="1"/>
      <c r="O64" s="1"/>
      <c r="P64" s="1"/>
    </row>
    <row r="65">
      <c r="A65" s="1"/>
      <c r="B65" s="1"/>
      <c r="C65" s="1"/>
      <c r="D65" s="1"/>
      <c r="E65" s="1"/>
      <c r="F65" s="1"/>
      <c r="G65" s="1"/>
      <c r="H65" s="1"/>
      <c r="I65" s="1"/>
      <c r="J65" s="1"/>
      <c r="K65" s="1"/>
      <c r="L65" s="1"/>
      <c r="M65" s="1"/>
      <c r="N65" s="1"/>
      <c r="O65" s="1"/>
      <c r="P65" s="1"/>
    </row>
    <row r="66">
      <c r="A66" s="1"/>
      <c r="B66" s="1"/>
      <c r="C66" s="1"/>
      <c r="D66" s="1"/>
      <c r="E66" s="1"/>
      <c r="F66" s="1"/>
      <c r="G66" s="1"/>
      <c r="H66" s="1"/>
      <c r="I66" s="1"/>
      <c r="J66" s="1"/>
      <c r="K66" s="1"/>
      <c r="L66" s="1"/>
      <c r="M66" s="1"/>
      <c r="N66" s="1"/>
      <c r="O66" s="1"/>
      <c r="P66" s="1"/>
    </row>
    <row r="67">
      <c r="A67" s="1"/>
      <c r="B67" s="1"/>
      <c r="C67" s="1"/>
      <c r="D67" s="1"/>
      <c r="E67" s="1"/>
      <c r="F67" s="1"/>
      <c r="G67" s="1"/>
      <c r="H67" s="1"/>
      <c r="I67" s="1"/>
      <c r="J67" s="1"/>
      <c r="K67" s="1"/>
      <c r="L67" s="1"/>
      <c r="M67" s="1"/>
      <c r="N67" s="1"/>
      <c r="O67" s="1"/>
      <c r="P67" s="1"/>
    </row>
    <row r="68">
      <c r="A68" s="1"/>
      <c r="B68" s="1"/>
      <c r="C68" s="1"/>
      <c r="D68" s="1"/>
      <c r="E68" s="1"/>
      <c r="F68" s="1"/>
      <c r="G68" s="1"/>
      <c r="H68" s="1"/>
      <c r="I68" s="1"/>
      <c r="J68" s="1"/>
      <c r="K68" s="1"/>
      <c r="L68" s="1"/>
      <c r="M68" s="1"/>
      <c r="N68" s="1"/>
      <c r="O68" s="1"/>
      <c r="P68" s="1"/>
    </row>
    <row r="69">
      <c r="A69" s="1"/>
      <c r="B69" s="1"/>
      <c r="C69" s="1"/>
      <c r="D69" s="1"/>
      <c r="E69" s="1"/>
      <c r="F69" s="1"/>
      <c r="G69" s="1"/>
      <c r="H69" s="1"/>
      <c r="I69" s="1"/>
      <c r="J69" s="1"/>
      <c r="K69" s="1"/>
      <c r="L69" s="1"/>
      <c r="M69" s="1"/>
      <c r="N69" s="1"/>
      <c r="O69" s="1"/>
      <c r="P69" s="1"/>
    </row>
    <row r="70">
      <c r="A70" s="1"/>
      <c r="B70" s="1"/>
      <c r="C70" s="1"/>
      <c r="D70" s="1"/>
      <c r="E70" s="1"/>
      <c r="F70" s="1"/>
      <c r="G70" s="1"/>
      <c r="H70" s="1"/>
      <c r="I70" s="1"/>
      <c r="J70" s="1"/>
      <c r="K70" s="1"/>
      <c r="L70" s="1"/>
      <c r="M70" s="1"/>
      <c r="N70" s="1"/>
      <c r="O70" s="1"/>
      <c r="P70" s="1"/>
    </row>
    <row r="71">
      <c r="A71" s="1"/>
      <c r="B71" s="1"/>
      <c r="C71" s="1"/>
      <c r="D71" s="1"/>
      <c r="E71" s="1"/>
      <c r="F71" s="1"/>
      <c r="G71" s="1"/>
      <c r="H71" s="1"/>
      <c r="I71" s="1"/>
      <c r="J71" s="1"/>
      <c r="K71" s="1"/>
      <c r="L71" s="1"/>
      <c r="M71" s="1"/>
      <c r="N71" s="1"/>
      <c r="O71" s="1"/>
      <c r="P71" s="1"/>
    </row>
    <row r="72">
      <c r="A72" s="1"/>
      <c r="B72" s="1"/>
      <c r="C72" s="1"/>
      <c r="D72" s="1"/>
      <c r="E72" s="1"/>
      <c r="F72" s="1"/>
      <c r="G72" s="1"/>
      <c r="H72" s="1"/>
      <c r="I72" s="1"/>
      <c r="J72" s="1"/>
      <c r="K72" s="1"/>
      <c r="L72" s="1"/>
      <c r="M72" s="1"/>
      <c r="N72" s="1"/>
      <c r="O72" s="1"/>
      <c r="P72" s="1"/>
    </row>
    <row r="73">
      <c r="A73" s="1"/>
      <c r="B73" s="1"/>
      <c r="C73" s="1"/>
      <c r="D73" s="1"/>
      <c r="E73" s="1"/>
      <c r="F73" s="1"/>
      <c r="G73" s="1"/>
      <c r="H73" s="1"/>
      <c r="I73" s="1"/>
      <c r="J73" s="1"/>
      <c r="K73" s="1"/>
      <c r="L73" s="1"/>
      <c r="M73" s="1"/>
      <c r="N73" s="1"/>
      <c r="O73" s="1"/>
      <c r="P73" s="1"/>
    </row>
    <row r="74">
      <c r="A74" s="1"/>
      <c r="B74" s="1"/>
      <c r="C74" s="1"/>
      <c r="D74" s="1"/>
      <c r="E74" s="1"/>
      <c r="F74" s="1"/>
      <c r="G74" s="1"/>
      <c r="H74" s="1"/>
      <c r="I74" s="1"/>
      <c r="J74" s="1"/>
      <c r="K74" s="1"/>
      <c r="L74" s="1"/>
      <c r="M74" s="1"/>
      <c r="N74" s="1"/>
      <c r="O74" s="1"/>
      <c r="P74" s="1"/>
    </row>
    <row r="75">
      <c r="A75" s="1"/>
      <c r="B75" s="1"/>
      <c r="C75" s="1"/>
      <c r="D75" s="1"/>
      <c r="E75" s="1"/>
      <c r="F75" s="1"/>
      <c r="G75" s="1"/>
      <c r="H75" s="1"/>
      <c r="I75" s="1"/>
      <c r="J75" s="1"/>
      <c r="K75" s="1"/>
      <c r="L75" s="1"/>
      <c r="M75" s="1"/>
      <c r="N75" s="1"/>
      <c r="O75" s="1"/>
      <c r="P75" s="1"/>
    </row>
    <row r="76">
      <c r="A76" s="1"/>
      <c r="B76" s="1"/>
      <c r="C76" s="1"/>
      <c r="D76" s="1"/>
      <c r="E76" s="1"/>
      <c r="F76" s="1"/>
      <c r="G76" s="1"/>
      <c r="H76" s="1"/>
      <c r="I76" s="1"/>
      <c r="J76" s="1"/>
      <c r="K76" s="1"/>
      <c r="L76" s="1"/>
      <c r="M76" s="1"/>
      <c r="N76" s="1"/>
      <c r="O76" s="1"/>
      <c r="P76" s="1"/>
    </row>
    <row r="77">
      <c r="A77" s="1"/>
      <c r="B77" s="1"/>
      <c r="C77" s="1"/>
      <c r="D77" s="1"/>
      <c r="E77" s="1"/>
      <c r="F77" s="1"/>
      <c r="G77" s="1"/>
      <c r="H77" s="1"/>
      <c r="I77" s="1"/>
      <c r="J77" s="1"/>
      <c r="K77" s="1"/>
      <c r="L77" s="1"/>
      <c r="M77" s="1"/>
      <c r="N77" s="1"/>
      <c r="O77" s="1"/>
      <c r="P77" s="1"/>
    </row>
    <row r="78">
      <c r="A78" s="1"/>
      <c r="B78" s="1"/>
      <c r="C78" s="1"/>
      <c r="D78" s="1"/>
      <c r="E78" s="1"/>
      <c r="F78" s="1"/>
      <c r="G78" s="1"/>
      <c r="H78" s="1"/>
      <c r="I78" s="1"/>
      <c r="J78" s="1"/>
      <c r="K78" s="1"/>
      <c r="L78" s="1"/>
      <c r="M78" s="1"/>
      <c r="N78" s="1"/>
      <c r="O78" s="1"/>
      <c r="P78" s="1"/>
    </row>
    <row r="79">
      <c r="A79" s="1"/>
      <c r="B79" s="1"/>
      <c r="C79" s="1"/>
      <c r="D79" s="1"/>
      <c r="E79" s="1"/>
      <c r="F79" s="1"/>
      <c r="G79" s="1"/>
      <c r="H79" s="1"/>
      <c r="I79" s="1"/>
      <c r="J79" s="1"/>
      <c r="K79" s="1"/>
      <c r="L79" s="1"/>
      <c r="M79" s="1"/>
      <c r="N79" s="1"/>
      <c r="O79" s="1"/>
      <c r="P79" s="1"/>
    </row>
    <row r="80">
      <c r="A80" s="1"/>
      <c r="B80" s="1"/>
      <c r="C80" s="1"/>
      <c r="D80" s="1"/>
      <c r="E80" s="1"/>
      <c r="F80" s="1"/>
      <c r="G80" s="1"/>
      <c r="H80" s="1"/>
      <c r="I80" s="1"/>
      <c r="J80" s="1"/>
      <c r="K80" s="1"/>
      <c r="L80" s="1"/>
      <c r="M80" s="1"/>
      <c r="N80" s="1"/>
      <c r="O80" s="1"/>
      <c r="P80" s="1"/>
    </row>
    <row r="81">
      <c r="A81" s="1"/>
      <c r="B81" s="1"/>
      <c r="C81" s="1"/>
      <c r="D81" s="1"/>
      <c r="E81" s="1"/>
      <c r="F81" s="1"/>
      <c r="G81" s="1"/>
      <c r="H81" s="1"/>
      <c r="I81" s="1"/>
      <c r="J81" s="1"/>
      <c r="K81" s="1"/>
      <c r="L81" s="1"/>
      <c r="M81" s="1"/>
      <c r="N81" s="1"/>
      <c r="O81" s="1"/>
      <c r="P81" s="1"/>
    </row>
    <row r="82">
      <c r="A82" s="1"/>
      <c r="B82" s="1"/>
      <c r="C82" s="1"/>
      <c r="D82" s="1"/>
      <c r="E82" s="1"/>
      <c r="F82" s="1"/>
      <c r="G82" s="1"/>
      <c r="H82" s="1"/>
      <c r="I82" s="1"/>
      <c r="J82" s="1"/>
      <c r="K82" s="1"/>
      <c r="L82" s="1"/>
      <c r="M82" s="1"/>
      <c r="N82" s="1"/>
      <c r="O82" s="1"/>
      <c r="P82" s="1"/>
    </row>
    <row r="83">
      <c r="A83" s="1"/>
      <c r="B83" s="1"/>
      <c r="C83" s="1"/>
      <c r="D83" s="1"/>
      <c r="E83" s="1"/>
      <c r="F83" s="1"/>
      <c r="G83" s="1"/>
      <c r="H83" s="1"/>
      <c r="I83" s="1"/>
      <c r="J83" s="1"/>
      <c r="K83" s="1"/>
      <c r="L83" s="1"/>
      <c r="M83" s="1"/>
      <c r="N83" s="1"/>
      <c r="O83" s="1"/>
      <c r="P83" s="1"/>
    </row>
    <row r="84">
      <c r="A84" s="1"/>
      <c r="B84" s="1"/>
      <c r="C84" s="1"/>
      <c r="D84" s="1"/>
      <c r="E84" s="1"/>
      <c r="F84" s="1"/>
      <c r="G84" s="1"/>
      <c r="H84" s="1"/>
      <c r="I84" s="1"/>
      <c r="J84" s="1"/>
      <c r="K84" s="1"/>
      <c r="L84" s="1"/>
      <c r="M84" s="1"/>
      <c r="N84" s="1"/>
      <c r="O84" s="1"/>
      <c r="P84" s="1"/>
    </row>
    <row r="85">
      <c r="A85" s="1"/>
      <c r="B85" s="1"/>
      <c r="C85" s="1"/>
      <c r="D85" s="1"/>
      <c r="E85" s="1"/>
      <c r="F85" s="1"/>
      <c r="G85" s="1"/>
      <c r="H85" s="1"/>
      <c r="I85" s="1"/>
      <c r="J85" s="1"/>
      <c r="K85" s="1"/>
      <c r="L85" s="1"/>
      <c r="M85" s="1"/>
      <c r="N85" s="1"/>
      <c r="O85" s="1"/>
      <c r="P85" s="1"/>
    </row>
    <row r="86">
      <c r="A86" s="1"/>
      <c r="B86" s="1"/>
      <c r="C86" s="1"/>
      <c r="D86" s="1"/>
      <c r="E86" s="1"/>
      <c r="F86" s="1"/>
      <c r="G86" s="1"/>
      <c r="H86" s="1"/>
      <c r="I86" s="1"/>
      <c r="J86" s="1"/>
      <c r="K86" s="1"/>
      <c r="L86" s="1"/>
      <c r="M86" s="1"/>
      <c r="N86" s="1"/>
      <c r="O86" s="1"/>
      <c r="P86" s="1"/>
    </row>
    <row r="87">
      <c r="A87" s="1"/>
      <c r="B87" s="1"/>
      <c r="C87" s="1"/>
      <c r="D87" s="1"/>
      <c r="E87" s="1"/>
      <c r="F87" s="1"/>
      <c r="G87" s="1"/>
      <c r="H87" s="1"/>
      <c r="I87" s="1"/>
      <c r="J87" s="1"/>
      <c r="K87" s="1"/>
      <c r="L87" s="1"/>
      <c r="M87" s="1"/>
      <c r="N87" s="1"/>
      <c r="O87" s="1"/>
      <c r="P87" s="1"/>
    </row>
    <row r="88">
      <c r="A88" s="1"/>
      <c r="B88" s="1"/>
      <c r="C88" s="1"/>
      <c r="D88" s="1"/>
      <c r="E88" s="1"/>
      <c r="F88" s="1"/>
      <c r="G88" s="1"/>
      <c r="H88" s="1"/>
      <c r="I88" s="1"/>
      <c r="J88" s="1"/>
      <c r="K88" s="1"/>
      <c r="L88" s="1"/>
      <c r="M88" s="1"/>
      <c r="N88" s="1"/>
      <c r="O88" s="1"/>
      <c r="P88" s="1"/>
    </row>
    <row r="89">
      <c r="A89" s="1"/>
      <c r="B89" s="1"/>
      <c r="C89" s="1"/>
      <c r="D89" s="1"/>
      <c r="E89" s="1"/>
      <c r="F89" s="1"/>
      <c r="G89" s="1"/>
      <c r="H89" s="1"/>
      <c r="I89" s="1"/>
      <c r="J89" s="1"/>
      <c r="K89" s="1"/>
      <c r="L89" s="1"/>
      <c r="M89" s="1"/>
      <c r="N89" s="1"/>
      <c r="O89" s="1"/>
      <c r="P89" s="1"/>
    </row>
    <row r="90">
      <c r="A90" s="1"/>
      <c r="B90" s="1"/>
      <c r="C90" s="1"/>
      <c r="D90" s="1"/>
      <c r="E90" s="1"/>
      <c r="F90" s="1"/>
      <c r="G90" s="1"/>
      <c r="H90" s="1"/>
      <c r="I90" s="1"/>
      <c r="J90" s="1"/>
      <c r="K90" s="1"/>
      <c r="L90" s="1"/>
      <c r="M90" s="1"/>
      <c r="N90" s="1"/>
      <c r="O90" s="1"/>
      <c r="P90" s="1"/>
    </row>
    <row r="91">
      <c r="A91" s="1"/>
      <c r="B91" s="1"/>
      <c r="C91" s="1"/>
      <c r="D91" s="1"/>
      <c r="E91" s="1"/>
      <c r="F91" s="1"/>
      <c r="G91" s="1"/>
      <c r="H91" s="1"/>
      <c r="I91" s="1"/>
      <c r="J91" s="1"/>
      <c r="K91" s="1"/>
      <c r="L91" s="1"/>
      <c r="M91" s="1"/>
      <c r="N91" s="1"/>
      <c r="O91" s="1"/>
      <c r="P91" s="1"/>
    </row>
    <row r="92">
      <c r="A92" s="1"/>
      <c r="B92" s="1"/>
      <c r="C92" s="1"/>
      <c r="D92" s="1"/>
      <c r="E92" s="1"/>
      <c r="F92" s="1"/>
      <c r="G92" s="1"/>
      <c r="H92" s="1"/>
      <c r="I92" s="1"/>
      <c r="J92" s="1"/>
      <c r="K92" s="1"/>
      <c r="L92" s="1"/>
      <c r="M92" s="1"/>
      <c r="N92" s="1"/>
      <c r="O92" s="1"/>
      <c r="P92" s="1"/>
    </row>
    <row r="93">
      <c r="A93" s="1"/>
      <c r="B93" s="1"/>
      <c r="C93" s="1"/>
      <c r="D93" s="1"/>
      <c r="E93" s="1"/>
      <c r="F93" s="1"/>
      <c r="G93" s="1"/>
      <c r="H93" s="1"/>
      <c r="I93" s="1"/>
      <c r="J93" s="1"/>
      <c r="K93" s="1"/>
      <c r="L93" s="1"/>
      <c r="M93" s="1"/>
      <c r="N93" s="1"/>
      <c r="O93" s="1"/>
      <c r="P93" s="1"/>
    </row>
    <row r="94">
      <c r="A94" s="1"/>
      <c r="B94" s="1"/>
      <c r="C94" s="1"/>
      <c r="D94" s="1"/>
      <c r="E94" s="1"/>
      <c r="F94" s="1"/>
      <c r="G94" s="1"/>
      <c r="H94" s="1"/>
      <c r="I94" s="1"/>
      <c r="J94" s="1"/>
      <c r="K94" s="1"/>
      <c r="L94" s="1"/>
      <c r="M94" s="1"/>
      <c r="N94" s="1"/>
      <c r="O94" s="1"/>
      <c r="P94" s="1"/>
    </row>
    <row r="95">
      <c r="A95" s="1"/>
      <c r="B95" s="1"/>
      <c r="C95" s="1"/>
      <c r="D95" s="1"/>
      <c r="E95" s="1"/>
      <c r="F95" s="1"/>
      <c r="G95" s="1"/>
      <c r="H95" s="1"/>
      <c r="I95" s="1"/>
      <c r="J95" s="1"/>
      <c r="K95" s="1"/>
      <c r="L95" s="1"/>
      <c r="M95" s="1"/>
      <c r="N95" s="1"/>
      <c r="O95" s="1"/>
      <c r="P95" s="1"/>
    </row>
    <row r="96">
      <c r="A96" s="1"/>
      <c r="B96" s="1"/>
      <c r="C96" s="1"/>
      <c r="D96" s="1"/>
      <c r="E96" s="1"/>
      <c r="F96" s="1"/>
      <c r="G96" s="1"/>
      <c r="H96" s="1"/>
      <c r="I96" s="1"/>
      <c r="J96" s="1"/>
      <c r="K96" s="1"/>
      <c r="L96" s="1"/>
      <c r="M96" s="1"/>
      <c r="N96" s="1"/>
      <c r="O96" s="1"/>
      <c r="P96" s="1"/>
    </row>
    <row r="97">
      <c r="A97" s="1"/>
      <c r="B97" s="1"/>
      <c r="C97" s="1"/>
      <c r="D97" s="1"/>
      <c r="E97" s="1"/>
      <c r="F97" s="1"/>
      <c r="G97" s="1"/>
      <c r="H97" s="1"/>
      <c r="I97" s="1"/>
      <c r="J97" s="1"/>
      <c r="K97" s="1"/>
      <c r="L97" s="1"/>
      <c r="M97" s="1"/>
      <c r="N97" s="1"/>
      <c r="O97" s="1"/>
      <c r="P97" s="1"/>
    </row>
    <row r="98">
      <c r="A98" s="1"/>
      <c r="B98" s="1"/>
      <c r="C98" s="1"/>
      <c r="D98" s="1"/>
      <c r="E98" s="1"/>
      <c r="F98" s="1"/>
      <c r="G98" s="1"/>
      <c r="H98" s="1"/>
      <c r="I98" s="1"/>
      <c r="J98" s="1"/>
      <c r="K98" s="1"/>
      <c r="L98" s="1"/>
      <c r="M98" s="1"/>
      <c r="N98" s="1"/>
      <c r="O98" s="1"/>
      <c r="P98" s="1"/>
    </row>
    <row r="99">
      <c r="A99" s="1"/>
      <c r="B99" s="1"/>
      <c r="C99" s="1"/>
      <c r="D99" s="1"/>
      <c r="E99" s="1"/>
      <c r="F99" s="1"/>
      <c r="G99" s="1"/>
      <c r="H99" s="1"/>
      <c r="I99" s="1"/>
      <c r="J99" s="1"/>
      <c r="K99" s="1"/>
      <c r="L99" s="1"/>
      <c r="M99" s="1"/>
      <c r="N99" s="1"/>
      <c r="O99" s="1"/>
      <c r="P99" s="1"/>
    </row>
    <row r="100">
      <c r="A100" s="1"/>
      <c r="B100" s="1"/>
      <c r="C100" s="1"/>
      <c r="D100" s="1"/>
      <c r="E100" s="1"/>
      <c r="F100" s="1"/>
      <c r="G100" s="1"/>
      <c r="H100" s="1"/>
      <c r="I100" s="1"/>
      <c r="J100" s="1"/>
      <c r="K100" s="1"/>
      <c r="L100" s="1"/>
      <c r="M100" s="1"/>
      <c r="N100" s="1"/>
      <c r="O100" s="1"/>
      <c r="P100" s="1"/>
    </row>
    <row r="101">
      <c r="A101" s="1"/>
      <c r="B101" s="1"/>
      <c r="C101" s="1"/>
      <c r="D101" s="1"/>
      <c r="E101" s="1"/>
      <c r="F101" s="1"/>
      <c r="G101" s="1"/>
      <c r="H101" s="1"/>
      <c r="I101" s="1"/>
      <c r="J101" s="1"/>
      <c r="K101" s="1"/>
      <c r="L101" s="1"/>
      <c r="M101" s="1"/>
      <c r="N101" s="1"/>
      <c r="O101" s="1"/>
      <c r="P101" s="1"/>
    </row>
    <row r="102">
      <c r="A102" s="1"/>
      <c r="B102" s="1"/>
      <c r="C102" s="1"/>
      <c r="D102" s="1"/>
      <c r="E102" s="1"/>
      <c r="F102" s="1"/>
      <c r="G102" s="1"/>
      <c r="H102" s="1"/>
      <c r="I102" s="1"/>
      <c r="J102" s="1"/>
      <c r="K102" s="1"/>
      <c r="L102" s="1"/>
      <c r="M102" s="1"/>
      <c r="N102" s="1"/>
      <c r="O102" s="1"/>
      <c r="P102" s="1"/>
    </row>
    <row r="103">
      <c r="A103" s="1"/>
      <c r="B103" s="1"/>
      <c r="C103" s="1"/>
      <c r="D103" s="1"/>
      <c r="E103" s="1"/>
      <c r="F103" s="1"/>
      <c r="G103" s="1"/>
      <c r="H103" s="1"/>
      <c r="I103" s="1"/>
      <c r="J103" s="1"/>
      <c r="K103" s="1"/>
      <c r="L103" s="1"/>
      <c r="M103" s="1"/>
      <c r="N103" s="1"/>
      <c r="O103" s="1"/>
      <c r="P103" s="1"/>
    </row>
    <row r="104">
      <c r="A104" s="1"/>
      <c r="B104" s="1"/>
      <c r="C104" s="1"/>
      <c r="D104" s="1"/>
      <c r="E104" s="1"/>
      <c r="F104" s="1"/>
      <c r="G104" s="1"/>
      <c r="H104" s="1"/>
      <c r="I104" s="1"/>
      <c r="J104" s="1"/>
      <c r="K104" s="1"/>
      <c r="L104" s="1"/>
      <c r="M104" s="1"/>
      <c r="N104" s="1"/>
      <c r="O104" s="1"/>
      <c r="P104" s="1"/>
    </row>
    <row r="105">
      <c r="A105" s="1"/>
      <c r="B105" s="1"/>
      <c r="C105" s="1"/>
      <c r="D105" s="1"/>
      <c r="E105" s="1"/>
      <c r="F105" s="1"/>
      <c r="G105" s="1"/>
      <c r="H105" s="1"/>
      <c r="I105" s="1"/>
      <c r="J105" s="1"/>
      <c r="K105" s="1"/>
      <c r="L105" s="1"/>
      <c r="M105" s="1"/>
      <c r="N105" s="1"/>
      <c r="O105" s="1"/>
      <c r="P105" s="1"/>
    </row>
    <row r="106">
      <c r="A106" s="1"/>
      <c r="B106" s="1"/>
      <c r="C106" s="1"/>
      <c r="D106" s="1"/>
      <c r="E106" s="1"/>
      <c r="F106" s="1"/>
      <c r="G106" s="1"/>
      <c r="H106" s="1"/>
      <c r="I106" s="1"/>
      <c r="J106" s="1"/>
      <c r="K106" s="1"/>
      <c r="L106" s="1"/>
      <c r="M106" s="1"/>
      <c r="N106" s="1"/>
      <c r="O106" s="1"/>
      <c r="P106" s="1"/>
    </row>
    <row r="107">
      <c r="A107" s="1"/>
      <c r="B107" s="1"/>
      <c r="C107" s="1"/>
      <c r="D107" s="1"/>
      <c r="E107" s="1"/>
      <c r="F107" s="1"/>
      <c r="G107" s="1"/>
      <c r="H107" s="1"/>
      <c r="I107" s="1"/>
      <c r="J107" s="1"/>
      <c r="K107" s="1"/>
      <c r="L107" s="1"/>
      <c r="M107" s="1"/>
      <c r="N107" s="1"/>
      <c r="O107" s="1"/>
      <c r="P107" s="1"/>
    </row>
    <row r="108">
      <c r="A108" s="1"/>
      <c r="B108" s="1"/>
      <c r="C108" s="1"/>
      <c r="D108" s="1"/>
      <c r="E108" s="1"/>
      <c r="F108" s="1"/>
      <c r="G108" s="1"/>
      <c r="H108" s="1"/>
      <c r="I108" s="1"/>
      <c r="J108" s="1"/>
      <c r="K108" s="1"/>
      <c r="L108" s="1"/>
      <c r="M108" s="1"/>
      <c r="N108" s="1"/>
      <c r="O108" s="1"/>
      <c r="P108" s="1"/>
    </row>
    <row r="109">
      <c r="A109" s="1"/>
      <c r="B109" s="1"/>
      <c r="C109" s="1"/>
      <c r="D109" s="1"/>
      <c r="E109" s="1"/>
      <c r="F109" s="1"/>
      <c r="G109" s="1"/>
      <c r="H109" s="1"/>
      <c r="I109" s="1"/>
      <c r="J109" s="1"/>
      <c r="K109" s="1"/>
      <c r="L109" s="1"/>
      <c r="M109" s="1"/>
      <c r="N109" s="1"/>
      <c r="O109" s="1"/>
      <c r="P109" s="1"/>
    </row>
    <row r="110">
      <c r="A110" s="1"/>
      <c r="B110" s="1"/>
      <c r="C110" s="1"/>
      <c r="D110" s="1"/>
      <c r="E110" s="1"/>
      <c r="F110" s="1"/>
      <c r="G110" s="1"/>
      <c r="H110" s="1"/>
      <c r="I110" s="1"/>
      <c r="J110" s="1"/>
      <c r="K110" s="1"/>
      <c r="L110" s="1"/>
      <c r="M110" s="1"/>
      <c r="N110" s="1"/>
      <c r="O110" s="1"/>
      <c r="P110" s="1"/>
    </row>
    <row r="111">
      <c r="A111" s="1"/>
      <c r="B111" s="1"/>
      <c r="C111" s="1"/>
      <c r="D111" s="1"/>
      <c r="E111" s="1"/>
      <c r="F111" s="1"/>
      <c r="G111" s="1"/>
      <c r="H111" s="1"/>
      <c r="I111" s="1"/>
      <c r="J111" s="1"/>
      <c r="K111" s="1"/>
      <c r="L111" s="1"/>
      <c r="M111" s="1"/>
      <c r="N111" s="1"/>
      <c r="O111" s="1"/>
      <c r="P111" s="1"/>
    </row>
    <row r="112">
      <c r="A112" s="1"/>
      <c r="B112" s="1"/>
      <c r="C112" s="1"/>
      <c r="D112" s="1"/>
      <c r="E112" s="1"/>
      <c r="F112" s="1"/>
      <c r="G112" s="1"/>
      <c r="H112" s="1"/>
      <c r="I112" s="1"/>
      <c r="J112" s="1"/>
      <c r="K112" s="1"/>
      <c r="L112" s="1"/>
      <c r="M112" s="1"/>
      <c r="N112" s="1"/>
      <c r="O112" s="1"/>
      <c r="P112" s="1"/>
    </row>
    <row r="113">
      <c r="A113" s="1"/>
      <c r="B113" s="1"/>
      <c r="C113" s="1"/>
      <c r="D113" s="1"/>
      <c r="E113" s="1"/>
      <c r="F113" s="1"/>
      <c r="G113" s="1"/>
      <c r="H113" s="1"/>
      <c r="I113" s="1"/>
      <c r="J113" s="1"/>
      <c r="K113" s="1"/>
      <c r="L113" s="1"/>
      <c r="M113" s="1"/>
      <c r="N113" s="1"/>
      <c r="O113" s="1"/>
      <c r="P113" s="1"/>
    </row>
    <row r="114">
      <c r="A114" s="1"/>
      <c r="B114" s="1"/>
      <c r="C114" s="1"/>
      <c r="D114" s="1"/>
      <c r="E114" s="1"/>
      <c r="F114" s="1"/>
      <c r="G114" s="1"/>
      <c r="H114" s="1"/>
      <c r="I114" s="1"/>
      <c r="J114" s="1"/>
      <c r="K114" s="1"/>
      <c r="L114" s="1"/>
      <c r="M114" s="1"/>
      <c r="N114" s="1"/>
      <c r="O114" s="1"/>
      <c r="P114" s="1"/>
    </row>
    <row r="115">
      <c r="A115" s="1"/>
      <c r="B115" s="1"/>
      <c r="C115" s="1"/>
      <c r="D115" s="1"/>
      <c r="E115" s="1"/>
      <c r="F115" s="1"/>
      <c r="G115" s="1"/>
      <c r="H115" s="1"/>
      <c r="I115" s="1"/>
      <c r="J115" s="1"/>
      <c r="K115" s="1"/>
      <c r="L115" s="1"/>
      <c r="M115" s="1"/>
      <c r="N115" s="1"/>
      <c r="O115" s="1"/>
      <c r="P115" s="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75"/>
    <col customWidth="1" min="2" max="2" width="31.25"/>
    <col customWidth="1" min="3" max="3" width="18.38"/>
    <col customWidth="1" min="4" max="4" width="34.88"/>
    <col customWidth="1" min="5" max="5" width="20.0"/>
    <col customWidth="1" min="6" max="6" width="18.0"/>
    <col customWidth="1" min="7" max="7" width="14.5"/>
    <col customWidth="1" min="8" max="8" width="11.5"/>
    <col customWidth="1" min="9" max="9" width="8.38"/>
    <col customWidth="1" min="10" max="10" width="16.13"/>
    <col customWidth="1" min="11" max="11" width="12.75"/>
    <col customWidth="1" min="12" max="12" width="12.13"/>
    <col customWidth="1" min="13" max="13" width="8.0"/>
    <col customWidth="1" min="14" max="14" width="6.5"/>
    <col customWidth="1" min="15" max="15" width="6.38"/>
    <col customWidth="1" min="16" max="16" width="9.75"/>
    <col customWidth="1" min="17" max="17" width="9.5"/>
    <col customWidth="1" min="18" max="18" width="9.0"/>
    <col customWidth="1" min="19" max="19" width="12.5"/>
    <col customWidth="1" min="20" max="20" width="4.38"/>
    <col customWidth="1" min="21" max="21" width="7.38"/>
    <col customWidth="1" min="22" max="22" width="7.88"/>
  </cols>
  <sheetData>
    <row r="1">
      <c r="A1" s="13">
        <f>IFERROR(__xludf.DUMMYFUNCTION("COUNTUNIQUE(A5:A944)-if(COUNTIF('4) Release_Artist(s)'!E:E, ""Various Artists"")&gt;0,0,1)"),2.0)</f>
        <v>2</v>
      </c>
      <c r="B1" s="14" t="s">
        <v>25</v>
      </c>
      <c r="C1" s="15">
        <f>IFERROR(__xludf.DUMMYFUNCTION("COUNTUNIQUE(C5:C944)"),2.0)</f>
        <v>2</v>
      </c>
      <c r="D1" s="16">
        <f>IFERROR(__xludf.DUMMYFUNCTION("COUNTUNIQUE(D5:D944)"),2.0)</f>
        <v>2</v>
      </c>
      <c r="E1" s="17">
        <f>IFERROR(__xludf.DUMMYFUNCTION("COUNTUNIQUE(E5:E944)"),2.0)</f>
        <v>2</v>
      </c>
      <c r="F1" s="18">
        <f>IFERROR(__xludf.DUMMYFUNCTION("COUNTUNIQUE(F5:F944)"),0.0)</f>
        <v>0</v>
      </c>
      <c r="G1" s="18">
        <f>IFERROR(__xludf.DUMMYFUNCTION("COUNTUNIQUE(B5:B944)"),2.0)</f>
        <v>2</v>
      </c>
      <c r="H1" s="19" t="s">
        <v>26</v>
      </c>
      <c r="I1" s="8">
        <v>414849.0</v>
      </c>
      <c r="J1" s="20" t="str">
        <f>"SELECT * FROM Artists where EntId="&amp;EntId</f>
        <v>SELECT * FROM Artists where EntId=414849</v>
      </c>
      <c r="N1" s="8"/>
      <c r="O1" s="8"/>
      <c r="Q1" s="8"/>
      <c r="R1" s="8"/>
      <c r="S1" s="8"/>
      <c r="T1" s="8"/>
      <c r="U1" s="8"/>
      <c r="V1" s="8"/>
      <c r="W1" s="8"/>
      <c r="X1" s="21"/>
      <c r="Y1" s="8"/>
    </row>
    <row r="2">
      <c r="A2" s="22" t="s">
        <v>27</v>
      </c>
      <c r="B2" s="23" t="s">
        <v>28</v>
      </c>
      <c r="C2" s="24"/>
      <c r="D2" s="25" t="s">
        <v>29</v>
      </c>
      <c r="E2" s="26"/>
      <c r="F2" s="26" t="s">
        <v>28</v>
      </c>
      <c r="G2" s="27">
        <f>countif(B5:B944,"&lt;&gt;""")-countif(B5:B944,"")</f>
        <v>2</v>
      </c>
      <c r="H2" s="19" t="s">
        <v>30</v>
      </c>
      <c r="I2" s="28">
        <v>332920.0</v>
      </c>
      <c r="J2" s="28"/>
      <c r="K2" s="28"/>
      <c r="L2" s="28"/>
      <c r="M2" s="28"/>
      <c r="N2" s="28"/>
      <c r="O2" s="28"/>
      <c r="P2" s="28"/>
      <c r="Q2" s="28"/>
      <c r="R2" s="28"/>
      <c r="S2" s="28"/>
      <c r="T2" s="28"/>
      <c r="U2" s="28"/>
      <c r="V2" s="28"/>
    </row>
    <row r="3">
      <c r="A3" s="29" t="s">
        <v>31</v>
      </c>
      <c r="B3" s="30" t="s">
        <v>32</v>
      </c>
      <c r="C3" s="31" t="s">
        <v>33</v>
      </c>
      <c r="D3" s="32" t="s">
        <v>34</v>
      </c>
      <c r="E3" s="33" t="s">
        <v>35</v>
      </c>
      <c r="F3" s="33" t="s">
        <v>36</v>
      </c>
      <c r="G3" s="34"/>
      <c r="H3" s="18" t="s">
        <v>37</v>
      </c>
      <c r="I3" s="28"/>
      <c r="J3" s="28"/>
      <c r="K3" s="28"/>
      <c r="L3" s="28"/>
      <c r="M3" s="28"/>
      <c r="N3" s="28"/>
      <c r="O3" s="28"/>
      <c r="P3" s="28"/>
      <c r="Q3" s="28"/>
      <c r="R3" s="28"/>
      <c r="S3" s="28"/>
      <c r="T3" s="28"/>
      <c r="U3" s="28"/>
      <c r="V3" s="28"/>
      <c r="W3" s="28"/>
      <c r="X3" s="28"/>
    </row>
    <row r="4">
      <c r="A4" s="35" t="s">
        <v>38</v>
      </c>
      <c r="B4" s="36" t="s">
        <v>39</v>
      </c>
      <c r="C4" s="37" t="s">
        <v>40</v>
      </c>
      <c r="D4" s="38" t="s">
        <v>41</v>
      </c>
      <c r="E4" s="39" t="s">
        <v>42</v>
      </c>
      <c r="F4" s="40" t="s">
        <v>43</v>
      </c>
      <c r="G4" s="34"/>
      <c r="H4" s="41">
        <f>IFERROR(__xludf.DUMMYFUNCTION("counta(A5:A944)-COUNTUNIQUE(A5:A944)"),0.0)</f>
        <v>0</v>
      </c>
      <c r="I4" s="28"/>
      <c r="J4" s="28"/>
      <c r="K4" s="28"/>
      <c r="L4" s="42"/>
      <c r="M4" s="42"/>
      <c r="N4" s="28"/>
      <c r="O4" s="28"/>
      <c r="P4" s="28"/>
      <c r="Q4" s="28"/>
      <c r="R4" s="28"/>
      <c r="S4" s="28"/>
      <c r="T4" s="28"/>
      <c r="U4" s="28"/>
      <c r="V4" s="28"/>
      <c r="W4" s="28"/>
      <c r="X4" s="28"/>
    </row>
    <row r="5">
      <c r="A5" s="43" t="s">
        <v>44</v>
      </c>
      <c r="B5" s="44" t="s">
        <v>45</v>
      </c>
      <c r="C5" s="8">
        <v>1.532352644E9</v>
      </c>
      <c r="D5" s="8" t="s">
        <v>46</v>
      </c>
      <c r="E5" s="45">
        <v>6.97315585919469E14</v>
      </c>
      <c r="F5" s="34"/>
      <c r="G5" s="46"/>
      <c r="H5" s="34"/>
      <c r="I5" s="47" t="str">
        <f>IFERROR(__xludf.DUMMYFUNCTION("""Insert into Artists VALUES(N'""&amp;SUBSTITUTE(trim(A5),""'"",""''"")&amp;""', (select CreatedBy from Enterprises where EnterpriseId=""&amp;EntId&amp;""), (select ImageId from Images where Filename='""&amp;REGEXREPLACE(A5,""[^[:alnum:]]"","""")&amp;EntId&amp;G5&amp;""'), null, null, g"&amp;"etdate(), null, null, null, null, ""&amp;EntId&amp;"", null, null, null, null, 0, null, null, ""&amp;TenantId&amp;"", null, null, null, null, null, null, 0, 0)"""),"Insert into Artists VALUES(N'JKZ', (select CreatedBy from Enterprises where EnterpriseId=414849), (select ImageId from Images where Filename='JKZ414849'), null, null, getdate(), null, null, null, null, 414849, null, null, null, null, 0, null, null, 332920"&amp;", null, null, null, null, null, null, 0, 0)")</f>
        <v>Insert into Artists VALUES(N'JKZ', (select CreatedBy from Enterprises where EnterpriseId=414849), (select ImageId from Images where Filename='JKZ414849'), null, null, getdate(), null, null, null, null, 414849, null, null, null, null, 0, null, null, 332920, null, null, null, null, null, null, 0, 0)</v>
      </c>
      <c r="J5" s="34" t="str">
        <f>if(C5="","","insert into Artists_ExternalIds values ( (select ArtistId from Artists where Name=N'"&amp;SUBSTITUTE(trim($A5),"'","''")&amp;"' and EnterpriseId="&amp;EntId&amp;"), "&amp;if(trim(C5)="new","null","'"&amp;trim(C5)&amp;"'")&amp;", 1)")</f>
        <v>insert into Artists_ExternalIds values ( (select ArtistId from Artists where Name=N'JKZ' and EnterpriseId=414849), '1532352644', 1)</v>
      </c>
      <c r="K5" s="34" t="str">
        <f>if(D5="","","insert into Artists_ExternalIds values ( (select ArtistId from Artists where Name=N'"&amp;SUBSTITUTE(trim($A5),"'","''")&amp;"' and EnterpriseId="&amp;EntId&amp;"), "&amp;if(trim(D5)="new","null","'"&amp;right(trim(D5),22)&amp;"'")&amp;", 9)")</f>
        <v>insert into Artists_ExternalIds values ( (select ArtistId from Artists where Name=N'JKZ' and EnterpriseId=414849), '1Gn8eEXtOWHA7XU8wEWXOb', 9)</v>
      </c>
      <c r="V5" s="28"/>
      <c r="X5" s="21"/>
    </row>
    <row r="6">
      <c r="A6" s="43" t="s">
        <v>47</v>
      </c>
      <c r="B6" s="44" t="s">
        <v>48</v>
      </c>
      <c r="C6" s="8">
        <v>1.60113962E9</v>
      </c>
      <c r="D6" s="8" t="s">
        <v>49</v>
      </c>
      <c r="E6" s="45">
        <v>6.97315585919468E14</v>
      </c>
      <c r="F6" s="34"/>
      <c r="G6" s="34"/>
      <c r="H6" s="34"/>
      <c r="I6" s="47" t="str">
        <f>IFERROR(__xludf.DUMMYFUNCTION("""Insert into Artists VALUES(N'""&amp;SUBSTITUTE(trim(A6),""'"",""''"")&amp;""', (select CreatedBy from Enterprises where EnterpriseId=""&amp;EntId&amp;""), (select ImageId from Images where Filename='""&amp;REGEXREPLACE(A6,""[^[:alnum:]]"","""")&amp;EntId&amp;G6&amp;""'), null, null, g"&amp;"etdate(), null, null, null, null, ""&amp;EntId&amp;"", null, null, null, null, 0, null, null, ""&amp;TenantId&amp;"", null, null, null, null, null, null, 0, 0)"""),"Insert into Artists VALUES(N'Flash Beats Manow', (select CreatedBy from Enterprises where EnterpriseId=414849), (select ImageId from Images where Filename='FlashBeatsManow414849'), null, null, getdate(), null, null, null, null, 414849, null, null, null, n"&amp;"ull, 0, null, null, 332920, null, null, null, null, null, null, 0, 0)")</f>
        <v>Insert into Artists VALUES(N'Flash Beats Manow', (select CreatedBy from Enterprises where EnterpriseId=414849), (select ImageId from Images where Filename='FlashBeatsManow414849'), null, null, getdate(), null, null, null, null, 414849, null, null, null, null, 0, null, null, 332920, null, null, null, null, null, null, 0, 0)</v>
      </c>
      <c r="J6" s="34" t="str">
        <f>if(C6="","","insert into Artists_ExternalIds values ( (select ArtistId from Artists where Name=N'"&amp;SUBSTITUTE(trim($A6),"'","''")&amp;"' and EnterpriseId="&amp;EntId&amp;"), "&amp;if(trim(C6)="new","null","'"&amp;trim(C6)&amp;"'")&amp;", 1)")</f>
        <v>insert into Artists_ExternalIds values ( (select ArtistId from Artists where Name=N'Flash Beats Manow' and EnterpriseId=414849), '1601139620', 1)</v>
      </c>
      <c r="K6" s="34" t="str">
        <f>if(D6="","","insert into Artists_ExternalIds values ( (select ArtistId from Artists where Name=N'"&amp;SUBSTITUTE(trim($A6),"'","''")&amp;"' and EnterpriseId="&amp;EntId&amp;"), "&amp;if(trim(D6)="new","null","'"&amp;right(trim(D6),22)&amp;"'")&amp;", 9)")</f>
        <v>insert into Artists_ExternalIds values ( (select ArtistId from Artists where Name=N'Flash Beats Manow' and EnterpriseId=414849), '0ZIlwtVZkqtMZUpbHrz8TL', 9)</v>
      </c>
    </row>
    <row r="7">
      <c r="E7" s="34"/>
      <c r="F7" s="34"/>
      <c r="G7" s="34"/>
      <c r="H7" s="34"/>
    </row>
    <row r="8">
      <c r="E8" s="34"/>
      <c r="F8" s="34"/>
      <c r="G8" s="34"/>
      <c r="H8" s="34"/>
    </row>
    <row r="9">
      <c r="E9" s="34"/>
      <c r="F9" s="34"/>
      <c r="G9" s="34"/>
      <c r="H9" s="34"/>
    </row>
    <row r="10">
      <c r="E10" s="34"/>
      <c r="F10" s="34"/>
      <c r="G10" s="34"/>
      <c r="H10" s="34"/>
    </row>
    <row r="11">
      <c r="E11" s="34"/>
      <c r="F11" s="34"/>
      <c r="G11" s="34"/>
      <c r="H11" s="34"/>
    </row>
    <row r="12">
      <c r="E12" s="34"/>
      <c r="F12" s="34"/>
      <c r="G12" s="34"/>
      <c r="H12" s="34"/>
    </row>
    <row r="13">
      <c r="E13" s="34"/>
      <c r="F13" s="34"/>
      <c r="G13" s="34"/>
      <c r="H13" s="34"/>
    </row>
    <row r="14">
      <c r="E14" s="34"/>
      <c r="F14" s="34"/>
      <c r="G14" s="34"/>
      <c r="H14" s="34"/>
    </row>
    <row r="15">
      <c r="E15" s="34"/>
      <c r="F15" s="34"/>
      <c r="G15" s="34"/>
      <c r="H15" s="34"/>
    </row>
    <row r="16">
      <c r="E16" s="34"/>
      <c r="F16" s="34"/>
      <c r="G16" s="34"/>
      <c r="H16" s="34"/>
    </row>
    <row r="17">
      <c r="E17" s="34"/>
      <c r="F17" s="34"/>
      <c r="G17" s="34"/>
      <c r="H17" s="34"/>
    </row>
    <row r="18">
      <c r="E18" s="34"/>
      <c r="F18" s="34"/>
      <c r="G18" s="34"/>
      <c r="H18" s="34"/>
    </row>
    <row r="19">
      <c r="E19" s="34"/>
      <c r="F19" s="34"/>
      <c r="G19" s="34"/>
      <c r="H19" s="34"/>
    </row>
    <row r="20">
      <c r="E20" s="34"/>
      <c r="F20" s="34"/>
      <c r="G20" s="34"/>
      <c r="H20" s="34"/>
    </row>
    <row r="21">
      <c r="E21" s="34"/>
      <c r="F21" s="34"/>
      <c r="G21" s="34"/>
      <c r="H21" s="34"/>
    </row>
    <row r="22">
      <c r="E22" s="34"/>
      <c r="F22" s="34"/>
      <c r="G22" s="34"/>
      <c r="H22" s="34"/>
    </row>
    <row r="23">
      <c r="E23" s="34"/>
      <c r="F23" s="34"/>
      <c r="G23" s="34"/>
      <c r="H23" s="34"/>
    </row>
    <row r="24">
      <c r="E24" s="34"/>
      <c r="F24" s="34"/>
      <c r="G24" s="34"/>
      <c r="H24" s="34"/>
    </row>
    <row r="25">
      <c r="E25" s="34"/>
      <c r="F25" s="34"/>
      <c r="G25" s="34"/>
      <c r="H25" s="34"/>
    </row>
    <row r="26">
      <c r="E26" s="34"/>
      <c r="F26" s="34"/>
      <c r="G26" s="34"/>
      <c r="H26" s="34"/>
    </row>
    <row r="27">
      <c r="E27" s="34"/>
      <c r="F27" s="34"/>
      <c r="G27" s="34"/>
      <c r="H27" s="34"/>
    </row>
    <row r="28">
      <c r="E28" s="34"/>
      <c r="F28" s="34"/>
      <c r="G28" s="34"/>
      <c r="H28" s="34"/>
    </row>
    <row r="29">
      <c r="E29" s="34"/>
      <c r="F29" s="34"/>
      <c r="G29" s="34"/>
      <c r="H29" s="34"/>
    </row>
    <row r="30">
      <c r="E30" s="34"/>
      <c r="F30" s="34"/>
      <c r="G30" s="34"/>
      <c r="H30" s="34"/>
    </row>
    <row r="31">
      <c r="E31" s="34"/>
      <c r="F31" s="34"/>
      <c r="G31" s="34"/>
      <c r="H31" s="34"/>
    </row>
    <row r="32">
      <c r="E32" s="34"/>
      <c r="F32" s="34"/>
      <c r="G32" s="34"/>
      <c r="H32" s="34"/>
    </row>
    <row r="33">
      <c r="E33" s="34"/>
      <c r="F33" s="34"/>
      <c r="G33" s="34"/>
      <c r="H33" s="34"/>
    </row>
    <row r="34">
      <c r="E34" s="34"/>
      <c r="F34" s="34"/>
      <c r="G34" s="34"/>
      <c r="H34" s="34"/>
    </row>
    <row r="35">
      <c r="E35" s="34"/>
      <c r="F35" s="34"/>
      <c r="G35" s="34"/>
      <c r="H35" s="34"/>
    </row>
    <row r="36">
      <c r="E36" s="34"/>
      <c r="F36" s="34"/>
      <c r="G36" s="34"/>
      <c r="H36" s="34"/>
    </row>
    <row r="37">
      <c r="E37" s="34"/>
      <c r="F37" s="34"/>
      <c r="G37" s="34"/>
      <c r="H37" s="34"/>
    </row>
    <row r="38">
      <c r="E38" s="34"/>
      <c r="F38" s="34"/>
      <c r="G38" s="34"/>
      <c r="H38" s="34"/>
    </row>
    <row r="39">
      <c r="E39" s="34"/>
      <c r="F39" s="34"/>
      <c r="G39" s="34"/>
      <c r="H39" s="34"/>
    </row>
    <row r="40">
      <c r="E40" s="34"/>
      <c r="F40" s="34"/>
      <c r="G40" s="34"/>
      <c r="H40" s="34"/>
    </row>
    <row r="41">
      <c r="E41" s="34"/>
      <c r="F41" s="34"/>
      <c r="G41" s="34"/>
      <c r="H41" s="34"/>
    </row>
    <row r="42">
      <c r="E42" s="34"/>
      <c r="F42" s="34"/>
      <c r="G42" s="34"/>
      <c r="H42" s="34"/>
    </row>
    <row r="43">
      <c r="E43" s="34"/>
      <c r="F43" s="34"/>
      <c r="G43" s="34"/>
      <c r="H43" s="34"/>
    </row>
    <row r="44">
      <c r="E44" s="34"/>
      <c r="F44" s="34"/>
      <c r="G44" s="34"/>
      <c r="H44" s="34"/>
    </row>
    <row r="45">
      <c r="E45" s="34"/>
      <c r="F45" s="34"/>
      <c r="G45" s="34"/>
      <c r="H45" s="34"/>
    </row>
    <row r="46">
      <c r="E46" s="34"/>
      <c r="F46" s="34"/>
      <c r="G46" s="34"/>
      <c r="H46" s="34"/>
    </row>
    <row r="47">
      <c r="E47" s="34"/>
      <c r="F47" s="34"/>
      <c r="G47" s="34"/>
      <c r="H47" s="34"/>
    </row>
    <row r="48">
      <c r="E48" s="34"/>
      <c r="F48" s="34"/>
      <c r="G48" s="34"/>
      <c r="H48" s="34"/>
    </row>
    <row r="49">
      <c r="E49" s="34"/>
      <c r="F49" s="34"/>
      <c r="G49" s="34"/>
      <c r="H49" s="34"/>
    </row>
    <row r="50">
      <c r="E50" s="34"/>
      <c r="F50" s="34"/>
      <c r="G50" s="34"/>
      <c r="H50" s="34"/>
    </row>
    <row r="51">
      <c r="E51" s="34"/>
      <c r="F51" s="34"/>
      <c r="G51" s="34"/>
      <c r="H51" s="34"/>
    </row>
    <row r="52">
      <c r="E52" s="34"/>
      <c r="F52" s="34"/>
      <c r="G52" s="34"/>
      <c r="H52" s="34"/>
    </row>
    <row r="53">
      <c r="E53" s="34"/>
      <c r="F53" s="34"/>
      <c r="G53" s="34"/>
      <c r="H53" s="34"/>
    </row>
    <row r="54">
      <c r="E54" s="34"/>
      <c r="F54" s="34"/>
      <c r="G54" s="34"/>
      <c r="H54" s="34"/>
    </row>
    <row r="55">
      <c r="E55" s="34"/>
      <c r="F55" s="34"/>
      <c r="G55" s="34"/>
      <c r="H55" s="34"/>
    </row>
    <row r="56">
      <c r="E56" s="34"/>
      <c r="F56" s="34"/>
      <c r="G56" s="34"/>
      <c r="H56" s="34"/>
    </row>
    <row r="57">
      <c r="E57" s="34"/>
      <c r="F57" s="34"/>
      <c r="G57" s="34"/>
      <c r="H57" s="34"/>
    </row>
    <row r="58">
      <c r="E58" s="34"/>
      <c r="F58" s="34"/>
      <c r="G58" s="34"/>
      <c r="H58" s="34"/>
    </row>
    <row r="59">
      <c r="E59" s="34"/>
      <c r="F59" s="34"/>
      <c r="G59" s="34"/>
      <c r="H59" s="34"/>
    </row>
    <row r="60">
      <c r="E60" s="34"/>
      <c r="F60" s="34"/>
      <c r="G60" s="34"/>
      <c r="H60" s="34"/>
    </row>
    <row r="61">
      <c r="E61" s="34"/>
      <c r="F61" s="34"/>
      <c r="G61" s="34"/>
      <c r="H61" s="34"/>
    </row>
    <row r="62">
      <c r="E62" s="34"/>
      <c r="F62" s="34"/>
      <c r="G62" s="34"/>
      <c r="H62" s="34"/>
    </row>
    <row r="63">
      <c r="E63" s="34"/>
      <c r="F63" s="34"/>
      <c r="G63" s="34"/>
      <c r="H63" s="34"/>
    </row>
    <row r="64">
      <c r="E64" s="34"/>
      <c r="F64" s="34"/>
      <c r="G64" s="34"/>
      <c r="H64" s="34"/>
    </row>
    <row r="65">
      <c r="E65" s="34"/>
      <c r="F65" s="34"/>
      <c r="G65" s="34"/>
      <c r="H65" s="34"/>
    </row>
    <row r="66">
      <c r="E66" s="34"/>
      <c r="F66" s="34"/>
      <c r="G66" s="34"/>
      <c r="H66" s="34"/>
    </row>
    <row r="67">
      <c r="E67" s="34"/>
      <c r="F67" s="34"/>
      <c r="G67" s="34"/>
      <c r="H67" s="34"/>
    </row>
    <row r="68">
      <c r="E68" s="34"/>
      <c r="F68" s="34"/>
      <c r="G68" s="34"/>
      <c r="H68" s="34"/>
    </row>
    <row r="69">
      <c r="E69" s="34"/>
      <c r="F69" s="34"/>
      <c r="G69" s="34"/>
      <c r="H69" s="34"/>
    </row>
    <row r="70">
      <c r="E70" s="34"/>
      <c r="F70" s="34"/>
      <c r="G70" s="34"/>
      <c r="H70" s="34"/>
    </row>
    <row r="71">
      <c r="E71" s="34"/>
      <c r="F71" s="34"/>
      <c r="G71" s="34"/>
      <c r="H71" s="34"/>
    </row>
    <row r="72">
      <c r="E72" s="34"/>
      <c r="F72" s="34"/>
      <c r="G72" s="34"/>
      <c r="H72" s="34"/>
    </row>
    <row r="73">
      <c r="E73" s="34"/>
      <c r="F73" s="34"/>
      <c r="G73" s="34"/>
      <c r="H73" s="34"/>
    </row>
    <row r="74">
      <c r="E74" s="34"/>
      <c r="F74" s="34"/>
      <c r="G74" s="34"/>
      <c r="H74" s="34"/>
    </row>
    <row r="75">
      <c r="E75" s="34"/>
      <c r="F75" s="34"/>
      <c r="G75" s="34"/>
      <c r="H75" s="34"/>
    </row>
    <row r="76">
      <c r="E76" s="34"/>
      <c r="F76" s="34"/>
      <c r="G76" s="34"/>
      <c r="H76" s="34"/>
    </row>
    <row r="77">
      <c r="E77" s="34"/>
      <c r="F77" s="34"/>
      <c r="G77" s="34"/>
      <c r="H77" s="34"/>
    </row>
    <row r="78">
      <c r="E78" s="34"/>
      <c r="F78" s="34"/>
      <c r="G78" s="34"/>
      <c r="H78" s="34"/>
    </row>
    <row r="79">
      <c r="E79" s="34"/>
      <c r="F79" s="34"/>
      <c r="G79" s="34"/>
      <c r="H79" s="34"/>
    </row>
    <row r="80">
      <c r="E80" s="34"/>
      <c r="F80" s="34"/>
      <c r="G80" s="34"/>
      <c r="H80" s="34"/>
    </row>
    <row r="81">
      <c r="E81" s="34"/>
      <c r="F81" s="34"/>
      <c r="G81" s="34"/>
      <c r="H81" s="34"/>
    </row>
    <row r="82">
      <c r="E82" s="34"/>
      <c r="F82" s="34"/>
      <c r="G82" s="34"/>
      <c r="H82" s="34"/>
    </row>
    <row r="83">
      <c r="E83" s="34"/>
      <c r="F83" s="34"/>
      <c r="G83" s="34"/>
      <c r="H83" s="34"/>
    </row>
    <row r="84">
      <c r="E84" s="34"/>
      <c r="F84" s="34"/>
      <c r="G84" s="34"/>
      <c r="H84" s="34"/>
    </row>
    <row r="85">
      <c r="E85" s="34"/>
      <c r="F85" s="34"/>
      <c r="G85" s="34"/>
      <c r="H85" s="34"/>
    </row>
    <row r="86">
      <c r="E86" s="34"/>
      <c r="F86" s="34"/>
      <c r="G86" s="34"/>
      <c r="H86" s="34"/>
    </row>
    <row r="87">
      <c r="E87" s="34"/>
      <c r="F87" s="34"/>
      <c r="G87" s="34"/>
      <c r="H87" s="34"/>
    </row>
    <row r="88">
      <c r="E88" s="34"/>
      <c r="F88" s="34"/>
      <c r="G88" s="34"/>
      <c r="H88" s="34"/>
    </row>
    <row r="89">
      <c r="E89" s="34"/>
      <c r="F89" s="34"/>
      <c r="G89" s="34"/>
      <c r="H89" s="34"/>
    </row>
    <row r="90">
      <c r="E90" s="34"/>
      <c r="F90" s="34"/>
      <c r="G90" s="34"/>
      <c r="H90" s="34"/>
    </row>
    <row r="91">
      <c r="E91" s="34"/>
      <c r="F91" s="34"/>
      <c r="G91" s="34"/>
      <c r="H91" s="34"/>
    </row>
    <row r="92">
      <c r="E92" s="34"/>
      <c r="F92" s="34"/>
      <c r="G92" s="34"/>
      <c r="H92" s="34"/>
    </row>
    <row r="93">
      <c r="E93" s="34"/>
      <c r="F93" s="34"/>
      <c r="G93" s="34"/>
      <c r="H93" s="34"/>
    </row>
    <row r="94">
      <c r="E94" s="34"/>
      <c r="F94" s="34"/>
      <c r="G94" s="34"/>
      <c r="H94" s="34"/>
    </row>
    <row r="95">
      <c r="E95" s="34"/>
      <c r="F95" s="34"/>
      <c r="G95" s="34"/>
      <c r="H95" s="34"/>
    </row>
    <row r="96">
      <c r="E96" s="34"/>
      <c r="F96" s="34"/>
      <c r="G96" s="34"/>
      <c r="H96" s="34"/>
    </row>
    <row r="97">
      <c r="E97" s="34"/>
      <c r="F97" s="34"/>
      <c r="G97" s="34"/>
      <c r="H97" s="34"/>
    </row>
    <row r="98">
      <c r="E98" s="34"/>
      <c r="F98" s="34"/>
      <c r="G98" s="34"/>
      <c r="H98" s="34"/>
    </row>
    <row r="99">
      <c r="E99" s="34"/>
      <c r="F99" s="34"/>
      <c r="G99" s="34"/>
      <c r="H99" s="34"/>
    </row>
    <row r="100">
      <c r="E100" s="34"/>
      <c r="F100" s="34"/>
      <c r="G100" s="34"/>
      <c r="H100" s="34"/>
    </row>
    <row r="101">
      <c r="E101" s="34"/>
      <c r="F101" s="34"/>
      <c r="G101" s="34"/>
      <c r="H101" s="34"/>
    </row>
    <row r="102">
      <c r="E102" s="34"/>
      <c r="F102" s="34"/>
      <c r="G102" s="34"/>
      <c r="H102" s="34"/>
    </row>
    <row r="103">
      <c r="E103" s="34"/>
      <c r="F103" s="34"/>
      <c r="G103" s="34"/>
      <c r="H103" s="34"/>
    </row>
    <row r="104">
      <c r="E104" s="34"/>
      <c r="F104" s="34"/>
      <c r="G104" s="34"/>
      <c r="H104" s="34"/>
    </row>
    <row r="105">
      <c r="E105" s="34"/>
      <c r="F105" s="34"/>
      <c r="G105" s="34"/>
      <c r="H105" s="34"/>
    </row>
    <row r="106">
      <c r="E106" s="34"/>
      <c r="F106" s="34"/>
      <c r="G106" s="34"/>
      <c r="H106" s="34"/>
    </row>
    <row r="107">
      <c r="E107" s="34"/>
      <c r="F107" s="34"/>
      <c r="G107" s="34"/>
      <c r="H107" s="34"/>
    </row>
    <row r="108">
      <c r="E108" s="34"/>
      <c r="F108" s="34"/>
      <c r="G108" s="34"/>
      <c r="H108" s="34"/>
    </row>
    <row r="109">
      <c r="E109" s="34"/>
      <c r="F109" s="34"/>
      <c r="G109" s="34"/>
      <c r="H109" s="34"/>
    </row>
    <row r="110">
      <c r="E110" s="34"/>
      <c r="F110" s="34"/>
      <c r="G110" s="34"/>
      <c r="H110" s="34"/>
    </row>
    <row r="111">
      <c r="E111" s="34"/>
      <c r="F111" s="34"/>
      <c r="G111" s="34"/>
      <c r="H111" s="34"/>
    </row>
    <row r="112">
      <c r="E112" s="34"/>
      <c r="F112" s="34"/>
      <c r="G112" s="34"/>
      <c r="H112" s="34"/>
    </row>
    <row r="113">
      <c r="E113" s="34"/>
      <c r="F113" s="34"/>
      <c r="G113" s="34"/>
      <c r="H113" s="34"/>
    </row>
    <row r="114">
      <c r="E114" s="34"/>
      <c r="F114" s="34"/>
      <c r="G114" s="34"/>
      <c r="H114" s="34"/>
    </row>
    <row r="115">
      <c r="E115" s="34"/>
      <c r="F115" s="34"/>
      <c r="G115" s="34"/>
      <c r="H115" s="34"/>
    </row>
    <row r="116">
      <c r="E116" s="34"/>
      <c r="F116" s="34"/>
      <c r="G116" s="34"/>
      <c r="H116" s="34"/>
    </row>
    <row r="117">
      <c r="E117" s="34"/>
      <c r="F117" s="34"/>
      <c r="G117" s="34"/>
      <c r="H117" s="34"/>
    </row>
    <row r="118">
      <c r="E118" s="34"/>
      <c r="F118" s="34"/>
      <c r="G118" s="34"/>
      <c r="H118" s="34"/>
    </row>
    <row r="119">
      <c r="E119" s="34"/>
      <c r="F119" s="34"/>
      <c r="G119" s="34"/>
      <c r="H119" s="34"/>
    </row>
    <row r="120">
      <c r="E120" s="34"/>
      <c r="F120" s="34"/>
      <c r="G120" s="34"/>
      <c r="H120" s="34"/>
    </row>
    <row r="121">
      <c r="E121" s="34"/>
      <c r="F121" s="34"/>
      <c r="G121" s="34"/>
      <c r="H121" s="34"/>
    </row>
    <row r="122">
      <c r="E122" s="34"/>
      <c r="F122" s="34"/>
      <c r="G122" s="34"/>
      <c r="H122" s="34"/>
    </row>
    <row r="123">
      <c r="E123" s="34"/>
      <c r="F123" s="34"/>
      <c r="G123" s="34"/>
      <c r="H123" s="34"/>
    </row>
    <row r="124">
      <c r="E124" s="34"/>
      <c r="F124" s="34"/>
      <c r="G124" s="34"/>
      <c r="H124" s="34"/>
    </row>
    <row r="125">
      <c r="E125" s="34"/>
      <c r="F125" s="34"/>
      <c r="G125" s="34"/>
      <c r="H125" s="34"/>
    </row>
    <row r="126">
      <c r="E126" s="34"/>
      <c r="F126" s="34"/>
      <c r="G126" s="34"/>
      <c r="H126" s="34"/>
    </row>
    <row r="127">
      <c r="E127" s="34"/>
      <c r="F127" s="34"/>
      <c r="G127" s="34"/>
      <c r="H127" s="34"/>
    </row>
    <row r="128">
      <c r="E128" s="34"/>
      <c r="F128" s="34"/>
      <c r="G128" s="34"/>
      <c r="H128" s="34"/>
    </row>
    <row r="129">
      <c r="E129" s="34"/>
      <c r="F129" s="34"/>
      <c r="G129" s="34"/>
      <c r="H129" s="34"/>
    </row>
    <row r="130">
      <c r="E130" s="34"/>
      <c r="F130" s="34"/>
      <c r="G130" s="34"/>
      <c r="H130" s="34"/>
    </row>
    <row r="131">
      <c r="E131" s="34"/>
      <c r="F131" s="34"/>
      <c r="G131" s="34"/>
      <c r="H131" s="34"/>
    </row>
    <row r="132">
      <c r="E132" s="34"/>
      <c r="F132" s="34"/>
      <c r="G132" s="34"/>
      <c r="H132" s="34"/>
    </row>
    <row r="133">
      <c r="E133" s="34"/>
      <c r="F133" s="34"/>
      <c r="G133" s="34"/>
      <c r="H133" s="34"/>
    </row>
    <row r="134">
      <c r="E134" s="34"/>
      <c r="F134" s="34"/>
      <c r="G134" s="34"/>
      <c r="H134" s="34"/>
    </row>
    <row r="135">
      <c r="E135" s="34"/>
      <c r="F135" s="34"/>
      <c r="G135" s="34"/>
      <c r="H135" s="34"/>
    </row>
    <row r="136">
      <c r="E136" s="34"/>
      <c r="F136" s="34"/>
      <c r="G136" s="34"/>
      <c r="H136" s="34"/>
    </row>
    <row r="137">
      <c r="E137" s="34"/>
      <c r="F137" s="34"/>
      <c r="G137" s="34"/>
      <c r="H137" s="34"/>
    </row>
    <row r="138">
      <c r="E138" s="34"/>
      <c r="F138" s="34"/>
      <c r="G138" s="34"/>
      <c r="H138" s="34"/>
    </row>
    <row r="139">
      <c r="E139" s="34"/>
      <c r="F139" s="34"/>
      <c r="G139" s="34"/>
      <c r="H139" s="34"/>
    </row>
    <row r="140">
      <c r="E140" s="34"/>
      <c r="F140" s="34"/>
      <c r="G140" s="34"/>
      <c r="H140" s="34"/>
    </row>
    <row r="141">
      <c r="E141" s="34"/>
      <c r="F141" s="34"/>
      <c r="G141" s="34"/>
      <c r="H141" s="34"/>
    </row>
    <row r="142">
      <c r="E142" s="34"/>
      <c r="F142" s="34"/>
      <c r="G142" s="34"/>
      <c r="H142" s="34"/>
    </row>
    <row r="143">
      <c r="E143" s="34"/>
      <c r="F143" s="34"/>
      <c r="G143" s="34"/>
      <c r="H143" s="34"/>
    </row>
    <row r="144">
      <c r="E144" s="34"/>
      <c r="F144" s="34"/>
      <c r="G144" s="34"/>
      <c r="H144" s="34"/>
    </row>
    <row r="145">
      <c r="E145" s="34"/>
      <c r="F145" s="34"/>
      <c r="G145" s="34"/>
      <c r="H145" s="34"/>
    </row>
    <row r="146">
      <c r="E146" s="34"/>
      <c r="F146" s="34"/>
      <c r="G146" s="34"/>
      <c r="H146" s="34"/>
    </row>
    <row r="147">
      <c r="E147" s="34"/>
      <c r="F147" s="34"/>
      <c r="G147" s="34"/>
      <c r="H147" s="34"/>
    </row>
    <row r="148">
      <c r="E148" s="34"/>
      <c r="F148" s="34"/>
      <c r="G148" s="34"/>
      <c r="H148" s="34"/>
    </row>
    <row r="149">
      <c r="E149" s="34"/>
      <c r="F149" s="34"/>
      <c r="G149" s="34"/>
      <c r="H149" s="34"/>
    </row>
    <row r="150">
      <c r="E150" s="34"/>
      <c r="F150" s="34"/>
      <c r="G150" s="34"/>
      <c r="H150" s="34"/>
    </row>
    <row r="151">
      <c r="E151" s="34"/>
      <c r="F151" s="34"/>
      <c r="G151" s="34"/>
      <c r="H151" s="34"/>
    </row>
    <row r="152">
      <c r="E152" s="34"/>
      <c r="F152" s="34"/>
      <c r="G152" s="34"/>
      <c r="H152" s="34"/>
    </row>
    <row r="153">
      <c r="E153" s="34"/>
      <c r="F153" s="34"/>
      <c r="G153" s="34"/>
      <c r="H153" s="34"/>
    </row>
    <row r="154">
      <c r="E154" s="34"/>
      <c r="F154" s="34"/>
      <c r="G154" s="34"/>
      <c r="H154" s="34"/>
    </row>
    <row r="155">
      <c r="E155" s="34"/>
      <c r="F155" s="34"/>
      <c r="G155" s="34"/>
      <c r="H155" s="34"/>
    </row>
    <row r="156">
      <c r="E156" s="34"/>
      <c r="F156" s="34"/>
      <c r="G156" s="34"/>
      <c r="H156" s="34"/>
    </row>
    <row r="157">
      <c r="E157" s="34"/>
      <c r="F157" s="34"/>
      <c r="G157" s="34"/>
      <c r="H157" s="34"/>
    </row>
    <row r="158">
      <c r="E158" s="34"/>
      <c r="F158" s="34"/>
      <c r="G158" s="34"/>
      <c r="H158" s="34"/>
    </row>
    <row r="159">
      <c r="E159" s="34"/>
      <c r="F159" s="34"/>
      <c r="G159" s="34"/>
      <c r="H159" s="34"/>
    </row>
    <row r="160">
      <c r="E160" s="34"/>
      <c r="F160" s="34"/>
      <c r="G160" s="34"/>
      <c r="H160" s="34"/>
    </row>
    <row r="161">
      <c r="E161" s="34"/>
      <c r="F161" s="34"/>
      <c r="G161" s="34"/>
      <c r="H161" s="34"/>
    </row>
    <row r="162">
      <c r="E162" s="34"/>
      <c r="F162" s="34"/>
      <c r="G162" s="34"/>
      <c r="H162" s="34"/>
    </row>
    <row r="163">
      <c r="E163" s="34"/>
      <c r="F163" s="34"/>
      <c r="G163" s="34"/>
      <c r="H163" s="34"/>
    </row>
    <row r="164">
      <c r="E164" s="34"/>
      <c r="F164" s="34"/>
      <c r="G164" s="34"/>
      <c r="H164" s="34"/>
    </row>
    <row r="165">
      <c r="E165" s="34"/>
      <c r="F165" s="34"/>
      <c r="G165" s="34"/>
      <c r="H165" s="34"/>
    </row>
    <row r="166">
      <c r="E166" s="34"/>
      <c r="F166" s="34"/>
      <c r="G166" s="34"/>
      <c r="H166" s="34"/>
    </row>
    <row r="167">
      <c r="E167" s="34"/>
      <c r="F167" s="34"/>
      <c r="G167" s="34"/>
      <c r="H167" s="34"/>
    </row>
    <row r="168">
      <c r="E168" s="34"/>
      <c r="F168" s="34"/>
      <c r="G168" s="34"/>
      <c r="H168" s="34"/>
    </row>
    <row r="169">
      <c r="E169" s="34"/>
      <c r="F169" s="34"/>
      <c r="G169" s="34"/>
      <c r="H169" s="34"/>
    </row>
    <row r="170">
      <c r="E170" s="34"/>
      <c r="F170" s="34"/>
      <c r="G170" s="34"/>
      <c r="H170" s="34"/>
    </row>
    <row r="171">
      <c r="E171" s="34"/>
      <c r="F171" s="34"/>
      <c r="G171" s="34"/>
      <c r="H171" s="34"/>
    </row>
    <row r="172">
      <c r="E172" s="34"/>
      <c r="F172" s="34"/>
      <c r="G172" s="34"/>
      <c r="H172" s="34"/>
    </row>
    <row r="173">
      <c r="E173" s="34"/>
      <c r="F173" s="34"/>
      <c r="G173" s="34"/>
      <c r="H173" s="34"/>
    </row>
    <row r="174">
      <c r="E174" s="34"/>
      <c r="F174" s="34"/>
      <c r="G174" s="34"/>
      <c r="H174" s="34"/>
    </row>
    <row r="175">
      <c r="E175" s="34"/>
      <c r="F175" s="34"/>
      <c r="G175" s="34"/>
      <c r="H175" s="34"/>
    </row>
    <row r="176">
      <c r="E176" s="34"/>
      <c r="F176" s="34"/>
      <c r="G176" s="34"/>
      <c r="H176" s="34"/>
    </row>
    <row r="177">
      <c r="E177" s="34"/>
      <c r="F177" s="34"/>
      <c r="G177" s="34"/>
      <c r="H177" s="34"/>
    </row>
    <row r="178">
      <c r="E178" s="34"/>
      <c r="F178" s="34"/>
      <c r="G178" s="34"/>
      <c r="H178" s="34"/>
    </row>
    <row r="179">
      <c r="E179" s="34"/>
      <c r="F179" s="34"/>
      <c r="G179" s="34"/>
      <c r="H179" s="34"/>
    </row>
    <row r="180">
      <c r="E180" s="34"/>
      <c r="F180" s="34"/>
      <c r="G180" s="34"/>
      <c r="H180" s="34"/>
    </row>
    <row r="181">
      <c r="E181" s="34"/>
      <c r="F181" s="34"/>
      <c r="G181" s="34"/>
      <c r="H181" s="34"/>
    </row>
    <row r="182">
      <c r="E182" s="34"/>
      <c r="F182" s="34"/>
      <c r="G182" s="34"/>
      <c r="H182" s="34"/>
    </row>
    <row r="183">
      <c r="E183" s="34"/>
      <c r="F183" s="34"/>
      <c r="G183" s="34"/>
      <c r="H183" s="34"/>
    </row>
    <row r="184">
      <c r="E184" s="34"/>
      <c r="F184" s="34"/>
      <c r="G184" s="34"/>
      <c r="H184" s="34"/>
    </row>
    <row r="185">
      <c r="E185" s="34"/>
      <c r="F185" s="34"/>
      <c r="G185" s="34"/>
      <c r="H185" s="34"/>
    </row>
    <row r="186">
      <c r="E186" s="34"/>
      <c r="F186" s="34"/>
      <c r="G186" s="34"/>
      <c r="H186" s="34"/>
    </row>
    <row r="187">
      <c r="E187" s="34"/>
      <c r="F187" s="34"/>
      <c r="G187" s="34"/>
      <c r="H187" s="34"/>
    </row>
    <row r="188">
      <c r="E188" s="34"/>
      <c r="F188" s="34"/>
      <c r="G188" s="34"/>
      <c r="H188" s="34"/>
    </row>
    <row r="189">
      <c r="E189" s="34"/>
      <c r="F189" s="34"/>
      <c r="G189" s="34"/>
      <c r="H189" s="34"/>
    </row>
    <row r="190">
      <c r="E190" s="34"/>
      <c r="F190" s="34"/>
      <c r="G190" s="34"/>
      <c r="H190" s="34"/>
    </row>
    <row r="191">
      <c r="E191" s="34"/>
      <c r="F191" s="34"/>
      <c r="G191" s="34"/>
      <c r="H191" s="34"/>
    </row>
    <row r="192">
      <c r="E192" s="34"/>
      <c r="F192" s="34"/>
      <c r="G192" s="34"/>
      <c r="H192" s="34"/>
    </row>
    <row r="193">
      <c r="E193" s="34"/>
      <c r="F193" s="34"/>
      <c r="G193" s="34"/>
      <c r="H193" s="34"/>
    </row>
    <row r="194">
      <c r="E194" s="34"/>
      <c r="F194" s="34"/>
      <c r="G194" s="34"/>
      <c r="H194" s="34"/>
    </row>
    <row r="195">
      <c r="E195" s="34"/>
      <c r="F195" s="34"/>
      <c r="G195" s="34"/>
      <c r="H195" s="34"/>
    </row>
    <row r="196">
      <c r="E196" s="34"/>
      <c r="F196" s="34"/>
      <c r="G196" s="34"/>
      <c r="H196" s="34"/>
    </row>
    <row r="197">
      <c r="E197" s="34"/>
      <c r="F197" s="34"/>
      <c r="G197" s="34"/>
      <c r="H197" s="34"/>
    </row>
    <row r="198">
      <c r="E198" s="34"/>
      <c r="F198" s="34"/>
      <c r="G198" s="34"/>
      <c r="H198" s="34"/>
    </row>
    <row r="199">
      <c r="E199" s="34"/>
      <c r="F199" s="34"/>
      <c r="G199" s="34"/>
      <c r="H199" s="34"/>
    </row>
    <row r="200">
      <c r="E200" s="34"/>
      <c r="F200" s="34"/>
      <c r="G200" s="34"/>
      <c r="H200" s="34"/>
    </row>
    <row r="201">
      <c r="E201" s="34"/>
      <c r="F201" s="34"/>
      <c r="G201" s="34"/>
      <c r="H201" s="34"/>
    </row>
    <row r="202">
      <c r="E202" s="34"/>
      <c r="F202" s="34"/>
      <c r="G202" s="34"/>
      <c r="H202" s="34"/>
    </row>
    <row r="203">
      <c r="E203" s="34"/>
      <c r="F203" s="34"/>
      <c r="G203" s="34"/>
      <c r="H203" s="34"/>
    </row>
    <row r="204">
      <c r="E204" s="34"/>
      <c r="F204" s="34"/>
      <c r="G204" s="34"/>
      <c r="H204" s="34"/>
    </row>
    <row r="205">
      <c r="E205" s="34"/>
      <c r="F205" s="34"/>
      <c r="G205" s="34"/>
      <c r="H205" s="34"/>
    </row>
    <row r="206">
      <c r="E206" s="34"/>
      <c r="F206" s="34"/>
      <c r="G206" s="34"/>
      <c r="H206" s="34"/>
    </row>
    <row r="207">
      <c r="E207" s="34"/>
      <c r="F207" s="34"/>
      <c r="G207" s="34"/>
      <c r="H207" s="34"/>
    </row>
    <row r="208">
      <c r="E208" s="34"/>
      <c r="F208" s="34"/>
      <c r="G208" s="34"/>
      <c r="H208" s="34"/>
    </row>
    <row r="209">
      <c r="E209" s="34"/>
      <c r="F209" s="34"/>
      <c r="G209" s="34"/>
      <c r="H209" s="34"/>
    </row>
    <row r="210">
      <c r="E210" s="34"/>
      <c r="F210" s="34"/>
      <c r="G210" s="34"/>
      <c r="H210" s="34"/>
    </row>
    <row r="211">
      <c r="E211" s="34"/>
      <c r="F211" s="34"/>
      <c r="G211" s="34"/>
      <c r="H211" s="34"/>
    </row>
    <row r="212">
      <c r="E212" s="34"/>
      <c r="F212" s="34"/>
      <c r="G212" s="34"/>
      <c r="H212" s="34"/>
    </row>
    <row r="213">
      <c r="E213" s="34"/>
      <c r="F213" s="34"/>
      <c r="G213" s="34"/>
      <c r="H213" s="34"/>
    </row>
    <row r="214">
      <c r="E214" s="34"/>
      <c r="F214" s="34"/>
      <c r="G214" s="34"/>
      <c r="H214" s="34"/>
    </row>
    <row r="215">
      <c r="E215" s="34"/>
      <c r="F215" s="34"/>
      <c r="G215" s="34"/>
      <c r="H215" s="34"/>
    </row>
    <row r="216">
      <c r="E216" s="34"/>
      <c r="F216" s="34"/>
      <c r="G216" s="34"/>
      <c r="H216" s="34"/>
    </row>
    <row r="217">
      <c r="E217" s="34"/>
      <c r="F217" s="34"/>
      <c r="G217" s="34"/>
      <c r="H217" s="34"/>
    </row>
    <row r="218">
      <c r="E218" s="34"/>
      <c r="F218" s="34"/>
      <c r="G218" s="34"/>
      <c r="H218" s="34"/>
    </row>
    <row r="219">
      <c r="E219" s="34"/>
      <c r="F219" s="34"/>
      <c r="G219" s="34"/>
      <c r="H219" s="34"/>
    </row>
    <row r="220">
      <c r="E220" s="34"/>
      <c r="F220" s="34"/>
      <c r="G220" s="34"/>
      <c r="H220" s="34"/>
    </row>
    <row r="221">
      <c r="E221" s="34"/>
      <c r="F221" s="34"/>
      <c r="G221" s="34"/>
      <c r="H221" s="34"/>
    </row>
    <row r="222">
      <c r="E222" s="34"/>
      <c r="F222" s="34"/>
      <c r="G222" s="34"/>
      <c r="H222" s="34"/>
    </row>
    <row r="223">
      <c r="E223" s="34"/>
      <c r="F223" s="34"/>
      <c r="G223" s="34"/>
      <c r="H223" s="34"/>
    </row>
    <row r="224">
      <c r="E224" s="34"/>
      <c r="F224" s="34"/>
      <c r="G224" s="34"/>
      <c r="H224" s="34"/>
    </row>
    <row r="225">
      <c r="E225" s="34"/>
      <c r="F225" s="34"/>
      <c r="G225" s="34"/>
      <c r="H225" s="34"/>
    </row>
    <row r="226">
      <c r="E226" s="34"/>
      <c r="F226" s="34"/>
      <c r="G226" s="34"/>
      <c r="H226" s="34"/>
    </row>
    <row r="227">
      <c r="E227" s="34"/>
      <c r="F227" s="34"/>
      <c r="G227" s="34"/>
      <c r="H227" s="34"/>
    </row>
    <row r="228">
      <c r="E228" s="34"/>
      <c r="F228" s="34"/>
      <c r="G228" s="34"/>
      <c r="H228" s="34"/>
    </row>
    <row r="229">
      <c r="E229" s="34"/>
      <c r="F229" s="34"/>
      <c r="G229" s="34"/>
      <c r="H229" s="34"/>
    </row>
    <row r="230">
      <c r="E230" s="34"/>
      <c r="F230" s="34"/>
      <c r="G230" s="34"/>
      <c r="H230" s="34"/>
    </row>
    <row r="231">
      <c r="E231" s="34"/>
      <c r="F231" s="34"/>
      <c r="G231" s="34"/>
      <c r="H231" s="34"/>
    </row>
    <row r="232">
      <c r="E232" s="34"/>
      <c r="F232" s="34"/>
      <c r="G232" s="34"/>
      <c r="H232" s="34"/>
    </row>
    <row r="233">
      <c r="E233" s="34"/>
      <c r="F233" s="34"/>
      <c r="G233" s="34"/>
      <c r="H233" s="34"/>
    </row>
    <row r="234">
      <c r="E234" s="34"/>
      <c r="F234" s="34"/>
      <c r="G234" s="34"/>
      <c r="H234" s="34"/>
    </row>
    <row r="235">
      <c r="E235" s="34"/>
      <c r="F235" s="34"/>
      <c r="G235" s="34"/>
      <c r="H235" s="34"/>
    </row>
    <row r="236">
      <c r="E236" s="34"/>
      <c r="F236" s="34"/>
      <c r="G236" s="34"/>
      <c r="H236" s="34"/>
    </row>
    <row r="237">
      <c r="E237" s="34"/>
      <c r="F237" s="34"/>
      <c r="G237" s="34"/>
      <c r="H237" s="34"/>
    </row>
    <row r="238">
      <c r="E238" s="34"/>
      <c r="F238" s="34"/>
      <c r="G238" s="34"/>
      <c r="H238" s="34"/>
    </row>
    <row r="239">
      <c r="E239" s="34"/>
      <c r="F239" s="34"/>
      <c r="G239" s="34"/>
      <c r="H239" s="34"/>
    </row>
    <row r="240">
      <c r="E240" s="34"/>
      <c r="F240" s="34"/>
      <c r="G240" s="34"/>
      <c r="H240" s="34"/>
    </row>
    <row r="241">
      <c r="E241" s="34"/>
      <c r="F241" s="34"/>
      <c r="G241" s="34"/>
      <c r="H241" s="34"/>
    </row>
    <row r="242">
      <c r="E242" s="34"/>
      <c r="F242" s="34"/>
      <c r="G242" s="34"/>
      <c r="H242" s="34"/>
    </row>
    <row r="243">
      <c r="E243" s="34"/>
      <c r="F243" s="34"/>
      <c r="G243" s="34"/>
      <c r="H243" s="34"/>
    </row>
    <row r="244">
      <c r="E244" s="34"/>
      <c r="F244" s="34"/>
      <c r="G244" s="34"/>
      <c r="H244" s="34"/>
    </row>
    <row r="245">
      <c r="E245" s="34"/>
      <c r="F245" s="34"/>
      <c r="G245" s="34"/>
      <c r="H245" s="34"/>
    </row>
    <row r="246">
      <c r="E246" s="34"/>
      <c r="F246" s="34"/>
      <c r="G246" s="34"/>
      <c r="H246" s="34"/>
    </row>
    <row r="247">
      <c r="E247" s="34"/>
      <c r="F247" s="34"/>
      <c r="G247" s="34"/>
      <c r="H247" s="34"/>
    </row>
    <row r="248">
      <c r="E248" s="34"/>
      <c r="F248" s="34"/>
      <c r="G248" s="34"/>
      <c r="H248" s="34"/>
    </row>
    <row r="249">
      <c r="E249" s="34"/>
      <c r="F249" s="34"/>
      <c r="G249" s="34"/>
      <c r="H249" s="34"/>
    </row>
    <row r="250">
      <c r="E250" s="34"/>
      <c r="F250" s="34"/>
      <c r="G250" s="34"/>
      <c r="H250" s="34"/>
    </row>
    <row r="251">
      <c r="E251" s="34"/>
      <c r="F251" s="34"/>
      <c r="G251" s="34"/>
      <c r="H251" s="34"/>
    </row>
    <row r="252">
      <c r="E252" s="34"/>
      <c r="F252" s="34"/>
      <c r="G252" s="34"/>
      <c r="H252" s="34"/>
    </row>
    <row r="253">
      <c r="E253" s="34"/>
      <c r="F253" s="34"/>
      <c r="G253" s="34"/>
      <c r="H253" s="34"/>
    </row>
    <row r="254">
      <c r="E254" s="34"/>
      <c r="F254" s="34"/>
      <c r="G254" s="34"/>
      <c r="H254" s="34"/>
    </row>
    <row r="255">
      <c r="E255" s="34"/>
      <c r="F255" s="34"/>
      <c r="G255" s="34"/>
      <c r="H255" s="34"/>
    </row>
    <row r="256">
      <c r="E256" s="34"/>
      <c r="F256" s="34"/>
      <c r="G256" s="34"/>
      <c r="H256" s="34"/>
    </row>
    <row r="257">
      <c r="E257" s="34"/>
      <c r="F257" s="34"/>
      <c r="G257" s="34"/>
      <c r="H257" s="34"/>
    </row>
    <row r="258">
      <c r="E258" s="34"/>
      <c r="F258" s="34"/>
      <c r="G258" s="34"/>
      <c r="H258" s="34"/>
    </row>
    <row r="259">
      <c r="E259" s="34"/>
      <c r="F259" s="34"/>
      <c r="G259" s="34"/>
      <c r="H259" s="34"/>
    </row>
    <row r="260">
      <c r="E260" s="34"/>
      <c r="F260" s="34"/>
      <c r="G260" s="34"/>
      <c r="H260" s="34"/>
    </row>
    <row r="261">
      <c r="E261" s="34"/>
      <c r="F261" s="34"/>
      <c r="G261" s="34"/>
      <c r="H261" s="34"/>
    </row>
    <row r="262">
      <c r="E262" s="34"/>
      <c r="F262" s="34"/>
      <c r="G262" s="34"/>
      <c r="H262" s="34"/>
    </row>
    <row r="263">
      <c r="E263" s="34"/>
      <c r="F263" s="34"/>
      <c r="G263" s="34"/>
      <c r="H263" s="34"/>
    </row>
    <row r="264">
      <c r="E264" s="34"/>
      <c r="F264" s="34"/>
      <c r="G264" s="34"/>
      <c r="H264" s="34"/>
    </row>
    <row r="265">
      <c r="E265" s="34"/>
      <c r="F265" s="34"/>
      <c r="G265" s="34"/>
      <c r="H265" s="34"/>
    </row>
    <row r="266">
      <c r="E266" s="34"/>
      <c r="F266" s="34"/>
      <c r="G266" s="34"/>
      <c r="H266" s="34"/>
    </row>
    <row r="267">
      <c r="E267" s="34"/>
      <c r="F267" s="34"/>
      <c r="G267" s="34"/>
      <c r="H267" s="34"/>
    </row>
    <row r="268">
      <c r="E268" s="34"/>
      <c r="F268" s="34"/>
      <c r="G268" s="34"/>
      <c r="H268" s="34"/>
    </row>
    <row r="269">
      <c r="E269" s="34"/>
      <c r="F269" s="34"/>
      <c r="G269" s="34"/>
      <c r="H269" s="34"/>
    </row>
    <row r="270">
      <c r="E270" s="34"/>
      <c r="F270" s="34"/>
      <c r="G270" s="34"/>
      <c r="H270" s="34"/>
    </row>
    <row r="271">
      <c r="E271" s="34"/>
      <c r="F271" s="34"/>
      <c r="G271" s="34"/>
      <c r="H271" s="34"/>
    </row>
    <row r="272">
      <c r="E272" s="34"/>
      <c r="F272" s="34"/>
      <c r="G272" s="34"/>
      <c r="H272" s="34"/>
    </row>
    <row r="273">
      <c r="E273" s="34"/>
      <c r="F273" s="34"/>
      <c r="G273" s="34"/>
      <c r="H273" s="34"/>
    </row>
    <row r="274">
      <c r="E274" s="34"/>
      <c r="F274" s="34"/>
      <c r="G274" s="34"/>
      <c r="H274" s="34"/>
    </row>
    <row r="275">
      <c r="E275" s="34"/>
      <c r="F275" s="34"/>
      <c r="G275" s="34"/>
      <c r="H275" s="34"/>
    </row>
    <row r="276">
      <c r="E276" s="34"/>
      <c r="F276" s="34"/>
      <c r="G276" s="34"/>
      <c r="H276" s="34"/>
    </row>
    <row r="277">
      <c r="E277" s="34"/>
      <c r="F277" s="34"/>
      <c r="G277" s="34"/>
      <c r="H277" s="34"/>
    </row>
    <row r="278">
      <c r="E278" s="34"/>
      <c r="F278" s="34"/>
      <c r="G278" s="34"/>
      <c r="H278" s="34"/>
    </row>
    <row r="279">
      <c r="E279" s="34"/>
      <c r="F279" s="34"/>
      <c r="G279" s="34"/>
      <c r="H279" s="34"/>
    </row>
    <row r="280">
      <c r="E280" s="34"/>
      <c r="F280" s="34"/>
      <c r="G280" s="34"/>
      <c r="H280" s="34"/>
    </row>
    <row r="281">
      <c r="E281" s="34"/>
      <c r="F281" s="34"/>
      <c r="G281" s="34"/>
      <c r="H281" s="34"/>
    </row>
    <row r="282">
      <c r="E282" s="34"/>
      <c r="F282" s="34"/>
      <c r="G282" s="34"/>
      <c r="H282" s="34"/>
    </row>
    <row r="283">
      <c r="E283" s="34"/>
      <c r="F283" s="34"/>
      <c r="G283" s="34"/>
      <c r="H283" s="34"/>
    </row>
    <row r="284">
      <c r="E284" s="34"/>
      <c r="F284" s="34"/>
      <c r="G284" s="34"/>
      <c r="H284" s="34"/>
    </row>
    <row r="285">
      <c r="E285" s="34"/>
      <c r="F285" s="34"/>
      <c r="G285" s="34"/>
      <c r="H285" s="34"/>
    </row>
    <row r="286">
      <c r="E286" s="34"/>
      <c r="F286" s="34"/>
      <c r="G286" s="34"/>
      <c r="H286" s="34"/>
    </row>
    <row r="287">
      <c r="E287" s="34"/>
      <c r="F287" s="34"/>
      <c r="G287" s="34"/>
      <c r="H287" s="34"/>
    </row>
    <row r="288">
      <c r="E288" s="34"/>
      <c r="F288" s="34"/>
      <c r="G288" s="34"/>
      <c r="H288" s="34"/>
    </row>
    <row r="289">
      <c r="E289" s="34"/>
      <c r="F289" s="34"/>
      <c r="G289" s="34"/>
      <c r="H289" s="34"/>
    </row>
    <row r="290">
      <c r="E290" s="34"/>
      <c r="F290" s="34"/>
      <c r="G290" s="34"/>
      <c r="H290" s="34"/>
    </row>
    <row r="291">
      <c r="E291" s="34"/>
      <c r="F291" s="34"/>
      <c r="G291" s="34"/>
      <c r="H291" s="34"/>
    </row>
    <row r="292">
      <c r="E292" s="34"/>
      <c r="F292" s="34"/>
      <c r="G292" s="34"/>
      <c r="H292" s="34"/>
    </row>
    <row r="293">
      <c r="E293" s="34"/>
      <c r="F293" s="34"/>
      <c r="G293" s="34"/>
      <c r="H293" s="34"/>
    </row>
    <row r="294">
      <c r="E294" s="34"/>
      <c r="F294" s="34"/>
      <c r="G294" s="34"/>
      <c r="H294" s="34"/>
    </row>
    <row r="295">
      <c r="E295" s="34"/>
      <c r="F295" s="34"/>
      <c r="G295" s="34"/>
      <c r="H295" s="34"/>
    </row>
    <row r="296">
      <c r="E296" s="34"/>
      <c r="F296" s="34"/>
      <c r="G296" s="34"/>
      <c r="H296" s="34"/>
    </row>
    <row r="297">
      <c r="E297" s="34"/>
      <c r="F297" s="34"/>
      <c r="G297" s="34"/>
      <c r="H297" s="34"/>
    </row>
    <row r="298">
      <c r="E298" s="34"/>
      <c r="F298" s="34"/>
      <c r="G298" s="34"/>
      <c r="H298" s="34"/>
    </row>
    <row r="299">
      <c r="E299" s="34"/>
      <c r="F299" s="34"/>
      <c r="G299" s="34"/>
      <c r="H299" s="34"/>
    </row>
    <row r="300">
      <c r="E300" s="34"/>
      <c r="F300" s="34"/>
      <c r="G300" s="34"/>
      <c r="H300" s="34"/>
    </row>
    <row r="301">
      <c r="E301" s="34"/>
      <c r="F301" s="34"/>
      <c r="G301" s="34"/>
      <c r="H301" s="34"/>
    </row>
    <row r="302">
      <c r="E302" s="34"/>
      <c r="F302" s="34"/>
      <c r="G302" s="34"/>
      <c r="H302" s="34"/>
    </row>
    <row r="303">
      <c r="E303" s="34"/>
      <c r="F303" s="34"/>
      <c r="G303" s="34"/>
      <c r="H303" s="34"/>
    </row>
    <row r="304">
      <c r="E304" s="34"/>
      <c r="F304" s="34"/>
      <c r="G304" s="34"/>
      <c r="H304" s="34"/>
    </row>
    <row r="305">
      <c r="E305" s="34"/>
      <c r="F305" s="34"/>
      <c r="G305" s="34"/>
      <c r="H305" s="34"/>
    </row>
    <row r="306">
      <c r="E306" s="34"/>
      <c r="F306" s="34"/>
      <c r="G306" s="34"/>
      <c r="H306" s="34"/>
    </row>
    <row r="307">
      <c r="E307" s="34"/>
      <c r="F307" s="34"/>
      <c r="G307" s="34"/>
      <c r="H307" s="34"/>
    </row>
    <row r="308">
      <c r="E308" s="34"/>
      <c r="F308" s="34"/>
      <c r="G308" s="34"/>
      <c r="H308" s="34"/>
    </row>
    <row r="309">
      <c r="E309" s="34"/>
      <c r="F309" s="34"/>
      <c r="G309" s="34"/>
      <c r="H309" s="34"/>
    </row>
    <row r="310">
      <c r="E310" s="34"/>
      <c r="F310" s="34"/>
      <c r="G310" s="34"/>
      <c r="H310" s="34"/>
    </row>
    <row r="311">
      <c r="E311" s="34"/>
      <c r="F311" s="34"/>
      <c r="G311" s="34"/>
      <c r="H311" s="34"/>
    </row>
    <row r="312">
      <c r="E312" s="34"/>
      <c r="F312" s="34"/>
      <c r="G312" s="34"/>
      <c r="H312" s="34"/>
    </row>
    <row r="313">
      <c r="E313" s="34"/>
      <c r="F313" s="34"/>
      <c r="G313" s="34"/>
      <c r="H313" s="34"/>
    </row>
    <row r="314">
      <c r="E314" s="34"/>
      <c r="F314" s="34"/>
      <c r="G314" s="34"/>
      <c r="H314" s="34"/>
    </row>
    <row r="315">
      <c r="E315" s="34"/>
      <c r="F315" s="34"/>
      <c r="G315" s="34"/>
      <c r="H315" s="34"/>
    </row>
    <row r="316">
      <c r="E316" s="34"/>
      <c r="F316" s="34"/>
      <c r="G316" s="34"/>
      <c r="H316" s="34"/>
    </row>
    <row r="317">
      <c r="E317" s="34"/>
      <c r="F317" s="34"/>
      <c r="G317" s="34"/>
      <c r="H317" s="34"/>
    </row>
    <row r="318">
      <c r="E318" s="34"/>
      <c r="F318" s="34"/>
      <c r="G318" s="34"/>
      <c r="H318" s="34"/>
    </row>
    <row r="319">
      <c r="E319" s="34"/>
      <c r="F319" s="34"/>
      <c r="G319" s="34"/>
      <c r="H319" s="34"/>
    </row>
    <row r="320">
      <c r="E320" s="34"/>
      <c r="F320" s="34"/>
      <c r="G320" s="34"/>
      <c r="H320" s="34"/>
    </row>
    <row r="321">
      <c r="E321" s="34"/>
      <c r="F321" s="34"/>
      <c r="G321" s="34"/>
      <c r="H321" s="34"/>
    </row>
    <row r="322">
      <c r="E322" s="34"/>
      <c r="F322" s="34"/>
      <c r="G322" s="34"/>
      <c r="H322" s="34"/>
    </row>
    <row r="323">
      <c r="E323" s="34"/>
      <c r="F323" s="34"/>
      <c r="G323" s="34"/>
      <c r="H323" s="34"/>
    </row>
    <row r="324">
      <c r="E324" s="34"/>
      <c r="F324" s="34"/>
      <c r="G324" s="34"/>
      <c r="H324" s="34"/>
    </row>
    <row r="325">
      <c r="E325" s="34"/>
      <c r="F325" s="34"/>
      <c r="G325" s="34"/>
      <c r="H325" s="34"/>
    </row>
    <row r="326">
      <c r="E326" s="34"/>
      <c r="F326" s="34"/>
      <c r="G326" s="34"/>
      <c r="H326" s="34"/>
    </row>
    <row r="327">
      <c r="E327" s="34"/>
      <c r="F327" s="34"/>
      <c r="G327" s="34"/>
      <c r="H327" s="34"/>
    </row>
    <row r="328">
      <c r="E328" s="34"/>
      <c r="F328" s="34"/>
      <c r="G328" s="34"/>
      <c r="H328" s="34"/>
    </row>
    <row r="329">
      <c r="E329" s="34"/>
      <c r="F329" s="34"/>
      <c r="G329" s="34"/>
      <c r="H329" s="34"/>
    </row>
    <row r="330">
      <c r="E330" s="34"/>
      <c r="F330" s="34"/>
      <c r="G330" s="34"/>
      <c r="H330" s="34"/>
    </row>
    <row r="331">
      <c r="E331" s="34"/>
      <c r="F331" s="34"/>
      <c r="G331" s="34"/>
      <c r="H331" s="34"/>
    </row>
    <row r="332">
      <c r="E332" s="34"/>
      <c r="F332" s="34"/>
      <c r="G332" s="34"/>
      <c r="H332" s="34"/>
    </row>
    <row r="333">
      <c r="E333" s="34"/>
      <c r="F333" s="34"/>
      <c r="G333" s="34"/>
      <c r="H333" s="34"/>
    </row>
    <row r="334">
      <c r="E334" s="34"/>
      <c r="F334" s="34"/>
      <c r="G334" s="34"/>
      <c r="H334" s="34"/>
    </row>
    <row r="335">
      <c r="E335" s="34"/>
      <c r="F335" s="34"/>
      <c r="G335" s="34"/>
      <c r="H335" s="34"/>
    </row>
    <row r="336">
      <c r="E336" s="34"/>
      <c r="F336" s="34"/>
      <c r="G336" s="34"/>
      <c r="H336" s="34"/>
    </row>
    <row r="337">
      <c r="E337" s="34"/>
      <c r="F337" s="34"/>
      <c r="G337" s="34"/>
      <c r="H337" s="34"/>
    </row>
    <row r="338">
      <c r="E338" s="34"/>
      <c r="F338" s="34"/>
      <c r="G338" s="34"/>
      <c r="H338" s="34"/>
    </row>
    <row r="339">
      <c r="E339" s="34"/>
      <c r="F339" s="34"/>
      <c r="G339" s="34"/>
      <c r="H339" s="34"/>
    </row>
    <row r="340">
      <c r="E340" s="34"/>
      <c r="F340" s="34"/>
      <c r="G340" s="34"/>
      <c r="H340" s="34"/>
    </row>
    <row r="341">
      <c r="E341" s="34"/>
      <c r="F341" s="34"/>
      <c r="G341" s="34"/>
      <c r="H341" s="34"/>
    </row>
    <row r="342">
      <c r="E342" s="34"/>
      <c r="F342" s="34"/>
      <c r="G342" s="34"/>
      <c r="H342" s="34"/>
    </row>
    <row r="343">
      <c r="E343" s="34"/>
      <c r="F343" s="34"/>
      <c r="G343" s="34"/>
      <c r="H343" s="34"/>
    </row>
    <row r="344">
      <c r="E344" s="34"/>
      <c r="F344" s="34"/>
      <c r="G344" s="34"/>
      <c r="H344" s="34"/>
    </row>
    <row r="345">
      <c r="E345" s="34"/>
      <c r="F345" s="34"/>
      <c r="G345" s="34"/>
      <c r="H345" s="34"/>
    </row>
    <row r="346">
      <c r="E346" s="34"/>
      <c r="F346" s="34"/>
      <c r="G346" s="34"/>
      <c r="H346" s="34"/>
    </row>
    <row r="347">
      <c r="E347" s="34"/>
      <c r="F347" s="34"/>
      <c r="G347" s="34"/>
      <c r="H347" s="34"/>
    </row>
    <row r="348">
      <c r="E348" s="34"/>
      <c r="F348" s="34"/>
      <c r="G348" s="34"/>
      <c r="H348" s="34"/>
    </row>
    <row r="349">
      <c r="E349" s="34"/>
      <c r="F349" s="34"/>
      <c r="G349" s="34"/>
      <c r="H349" s="34"/>
    </row>
    <row r="350">
      <c r="E350" s="34"/>
      <c r="F350" s="34"/>
      <c r="G350" s="34"/>
      <c r="H350" s="34"/>
    </row>
    <row r="351">
      <c r="E351" s="34"/>
      <c r="F351" s="34"/>
      <c r="G351" s="34"/>
      <c r="H351" s="34"/>
    </row>
    <row r="352">
      <c r="E352" s="34"/>
      <c r="F352" s="34"/>
      <c r="G352" s="34"/>
      <c r="H352" s="34"/>
    </row>
    <row r="353">
      <c r="E353" s="34"/>
      <c r="F353" s="34"/>
      <c r="G353" s="34"/>
      <c r="H353" s="34"/>
    </row>
    <row r="354">
      <c r="E354" s="34"/>
      <c r="F354" s="34"/>
      <c r="G354" s="34"/>
      <c r="H354" s="34"/>
    </row>
    <row r="355">
      <c r="E355" s="34"/>
      <c r="F355" s="34"/>
      <c r="G355" s="34"/>
      <c r="H355" s="34"/>
    </row>
    <row r="356">
      <c r="E356" s="34"/>
      <c r="F356" s="34"/>
      <c r="G356" s="34"/>
      <c r="H356" s="34"/>
    </row>
    <row r="357">
      <c r="E357" s="34"/>
      <c r="F357" s="34"/>
      <c r="G357" s="34"/>
      <c r="H357" s="34"/>
    </row>
    <row r="358">
      <c r="E358" s="34"/>
      <c r="F358" s="34"/>
      <c r="G358" s="34"/>
      <c r="H358" s="34"/>
    </row>
    <row r="359">
      <c r="E359" s="34"/>
      <c r="F359" s="34"/>
      <c r="G359" s="34"/>
      <c r="H359" s="34"/>
    </row>
    <row r="360">
      <c r="E360" s="34"/>
      <c r="F360" s="34"/>
      <c r="G360" s="34"/>
      <c r="H360" s="34"/>
    </row>
    <row r="361">
      <c r="E361" s="34"/>
      <c r="F361" s="34"/>
      <c r="G361" s="34"/>
      <c r="H361" s="34"/>
    </row>
    <row r="362">
      <c r="E362" s="34"/>
      <c r="F362" s="34"/>
      <c r="G362" s="34"/>
      <c r="H362" s="34"/>
    </row>
    <row r="363">
      <c r="E363" s="34"/>
      <c r="F363" s="34"/>
      <c r="G363" s="34"/>
      <c r="H363" s="34"/>
    </row>
    <row r="364">
      <c r="E364" s="34"/>
      <c r="F364" s="34"/>
      <c r="G364" s="34"/>
      <c r="H364" s="34"/>
    </row>
    <row r="365">
      <c r="E365" s="34"/>
      <c r="F365" s="34"/>
      <c r="G365" s="34"/>
      <c r="H365" s="34"/>
    </row>
    <row r="366">
      <c r="E366" s="34"/>
      <c r="F366" s="34"/>
      <c r="G366" s="34"/>
      <c r="H366" s="34"/>
    </row>
    <row r="367">
      <c r="E367" s="34"/>
      <c r="F367" s="34"/>
      <c r="G367" s="34"/>
      <c r="H367" s="34"/>
    </row>
    <row r="368">
      <c r="E368" s="34"/>
      <c r="F368" s="34"/>
      <c r="G368" s="34"/>
      <c r="H368" s="34"/>
    </row>
    <row r="369">
      <c r="E369" s="34"/>
      <c r="F369" s="34"/>
      <c r="G369" s="34"/>
      <c r="H369" s="34"/>
    </row>
    <row r="370">
      <c r="E370" s="34"/>
      <c r="F370" s="34"/>
      <c r="G370" s="34"/>
      <c r="H370" s="34"/>
    </row>
    <row r="371">
      <c r="E371" s="34"/>
      <c r="F371" s="34"/>
      <c r="G371" s="34"/>
      <c r="H371" s="34"/>
    </row>
    <row r="372">
      <c r="E372" s="34"/>
      <c r="F372" s="34"/>
      <c r="G372" s="34"/>
      <c r="H372" s="34"/>
    </row>
    <row r="373">
      <c r="E373" s="34"/>
      <c r="F373" s="34"/>
      <c r="G373" s="34"/>
      <c r="H373" s="34"/>
    </row>
    <row r="374">
      <c r="E374" s="34"/>
      <c r="F374" s="34"/>
      <c r="G374" s="34"/>
      <c r="H374" s="34"/>
    </row>
    <row r="375">
      <c r="E375" s="34"/>
      <c r="F375" s="34"/>
      <c r="G375" s="34"/>
      <c r="H375" s="34"/>
    </row>
    <row r="376">
      <c r="E376" s="34"/>
      <c r="F376" s="34"/>
      <c r="G376" s="34"/>
      <c r="H376" s="34"/>
    </row>
    <row r="377">
      <c r="E377" s="34"/>
      <c r="F377" s="34"/>
      <c r="G377" s="34"/>
      <c r="H377" s="34"/>
    </row>
    <row r="378">
      <c r="E378" s="34"/>
      <c r="F378" s="34"/>
      <c r="G378" s="34"/>
      <c r="H378" s="34"/>
    </row>
    <row r="379">
      <c r="E379" s="34"/>
      <c r="F379" s="34"/>
      <c r="G379" s="34"/>
      <c r="H379" s="34"/>
    </row>
    <row r="380">
      <c r="E380" s="34"/>
      <c r="F380" s="34"/>
      <c r="G380" s="34"/>
      <c r="H380" s="34"/>
    </row>
    <row r="381">
      <c r="E381" s="34"/>
      <c r="F381" s="34"/>
      <c r="G381" s="34"/>
      <c r="H381" s="34"/>
    </row>
    <row r="382">
      <c r="E382" s="34"/>
      <c r="F382" s="34"/>
      <c r="G382" s="34"/>
      <c r="H382" s="34"/>
    </row>
    <row r="383">
      <c r="E383" s="34"/>
      <c r="F383" s="34"/>
      <c r="G383" s="34"/>
      <c r="H383" s="34"/>
    </row>
    <row r="384">
      <c r="E384" s="34"/>
      <c r="F384" s="34"/>
      <c r="G384" s="34"/>
      <c r="H384" s="34"/>
    </row>
    <row r="385">
      <c r="E385" s="34"/>
      <c r="F385" s="34"/>
      <c r="G385" s="34"/>
      <c r="H385" s="34"/>
    </row>
    <row r="386">
      <c r="E386" s="34"/>
      <c r="F386" s="34"/>
      <c r="G386" s="34"/>
      <c r="H386" s="34"/>
    </row>
    <row r="387">
      <c r="E387" s="34"/>
      <c r="F387" s="34"/>
      <c r="G387" s="34"/>
      <c r="H387" s="34"/>
    </row>
    <row r="388">
      <c r="E388" s="34"/>
      <c r="F388" s="34"/>
      <c r="G388" s="34"/>
      <c r="H388" s="34"/>
    </row>
    <row r="389">
      <c r="E389" s="34"/>
      <c r="F389" s="34"/>
      <c r="G389" s="34"/>
      <c r="H389" s="34"/>
    </row>
    <row r="390">
      <c r="E390" s="34"/>
      <c r="F390" s="34"/>
      <c r="G390" s="34"/>
      <c r="H390" s="34"/>
    </row>
    <row r="391">
      <c r="E391" s="34"/>
      <c r="F391" s="34"/>
      <c r="G391" s="34"/>
      <c r="H391" s="34"/>
    </row>
    <row r="392">
      <c r="E392" s="34"/>
      <c r="F392" s="34"/>
      <c r="G392" s="34"/>
      <c r="H392" s="34"/>
    </row>
    <row r="393">
      <c r="E393" s="34"/>
      <c r="F393" s="34"/>
      <c r="G393" s="34"/>
      <c r="H393" s="34"/>
    </row>
    <row r="394">
      <c r="E394" s="34"/>
      <c r="F394" s="34"/>
      <c r="G394" s="34"/>
      <c r="H394" s="34"/>
    </row>
    <row r="395">
      <c r="E395" s="34"/>
      <c r="F395" s="34"/>
      <c r="G395" s="34"/>
      <c r="H395" s="34"/>
    </row>
    <row r="396">
      <c r="E396" s="34"/>
      <c r="F396" s="34"/>
      <c r="G396" s="34"/>
      <c r="H396" s="34"/>
    </row>
    <row r="397">
      <c r="E397" s="34"/>
      <c r="F397" s="34"/>
      <c r="G397" s="34"/>
      <c r="H397" s="34"/>
    </row>
    <row r="398">
      <c r="E398" s="34"/>
      <c r="F398" s="34"/>
      <c r="G398" s="34"/>
      <c r="H398" s="34"/>
    </row>
    <row r="399">
      <c r="E399" s="34"/>
      <c r="F399" s="34"/>
      <c r="G399" s="34"/>
      <c r="H399" s="34"/>
    </row>
    <row r="400">
      <c r="E400" s="34"/>
      <c r="F400" s="34"/>
      <c r="G400" s="34"/>
      <c r="H400" s="34"/>
    </row>
    <row r="401">
      <c r="E401" s="34"/>
      <c r="F401" s="34"/>
      <c r="G401" s="34"/>
      <c r="H401" s="34"/>
    </row>
    <row r="402">
      <c r="E402" s="34"/>
      <c r="F402" s="34"/>
      <c r="G402" s="34"/>
      <c r="H402" s="34"/>
    </row>
    <row r="403">
      <c r="E403" s="34"/>
      <c r="F403" s="34"/>
      <c r="G403" s="34"/>
      <c r="H403" s="34"/>
    </row>
    <row r="404">
      <c r="E404" s="34"/>
      <c r="F404" s="34"/>
      <c r="G404" s="34"/>
      <c r="H404" s="34"/>
    </row>
    <row r="405">
      <c r="E405" s="34"/>
      <c r="F405" s="34"/>
      <c r="G405" s="34"/>
      <c r="H405" s="34"/>
    </row>
    <row r="406">
      <c r="E406" s="34"/>
      <c r="F406" s="34"/>
      <c r="G406" s="34"/>
      <c r="H406" s="34"/>
    </row>
    <row r="407">
      <c r="E407" s="34"/>
      <c r="F407" s="34"/>
      <c r="G407" s="34"/>
      <c r="H407" s="34"/>
    </row>
    <row r="408">
      <c r="E408" s="34"/>
      <c r="F408" s="34"/>
      <c r="G408" s="34"/>
      <c r="H408" s="34"/>
    </row>
    <row r="409">
      <c r="E409" s="34"/>
      <c r="F409" s="34"/>
      <c r="G409" s="34"/>
      <c r="H409" s="34"/>
    </row>
    <row r="410">
      <c r="E410" s="34"/>
      <c r="F410" s="34"/>
      <c r="G410" s="34"/>
      <c r="H410" s="34"/>
    </row>
    <row r="411">
      <c r="E411" s="34"/>
      <c r="F411" s="34"/>
      <c r="G411" s="34"/>
      <c r="H411" s="34"/>
    </row>
    <row r="412">
      <c r="E412" s="34"/>
      <c r="F412" s="34"/>
      <c r="G412" s="34"/>
      <c r="H412" s="34"/>
    </row>
    <row r="413">
      <c r="E413" s="34"/>
      <c r="F413" s="34"/>
      <c r="G413" s="34"/>
      <c r="H413" s="34"/>
    </row>
    <row r="414">
      <c r="E414" s="34"/>
      <c r="F414" s="34"/>
      <c r="G414" s="34"/>
      <c r="H414" s="34"/>
    </row>
    <row r="415">
      <c r="E415" s="34"/>
      <c r="F415" s="34"/>
      <c r="G415" s="34"/>
      <c r="H415" s="34"/>
    </row>
    <row r="416">
      <c r="E416" s="34"/>
      <c r="F416" s="34"/>
      <c r="G416" s="34"/>
      <c r="H416" s="34"/>
    </row>
    <row r="417">
      <c r="E417" s="34"/>
      <c r="F417" s="34"/>
      <c r="G417" s="34"/>
      <c r="H417" s="34"/>
    </row>
    <row r="418">
      <c r="E418" s="34"/>
      <c r="F418" s="34"/>
      <c r="G418" s="34"/>
      <c r="H418" s="34"/>
    </row>
    <row r="419">
      <c r="E419" s="34"/>
      <c r="F419" s="34"/>
      <c r="G419" s="34"/>
      <c r="H419" s="34"/>
    </row>
    <row r="420">
      <c r="E420" s="34"/>
      <c r="F420" s="34"/>
      <c r="G420" s="34"/>
      <c r="H420" s="34"/>
    </row>
    <row r="421">
      <c r="E421" s="34"/>
      <c r="F421" s="34"/>
      <c r="G421" s="34"/>
      <c r="H421" s="34"/>
    </row>
    <row r="422">
      <c r="E422" s="34"/>
      <c r="F422" s="34"/>
      <c r="G422" s="34"/>
      <c r="H422" s="34"/>
    </row>
    <row r="423">
      <c r="E423" s="34"/>
      <c r="F423" s="34"/>
      <c r="G423" s="34"/>
      <c r="H423" s="34"/>
    </row>
    <row r="424">
      <c r="E424" s="34"/>
      <c r="F424" s="34"/>
      <c r="G424" s="34"/>
      <c r="H424" s="34"/>
    </row>
    <row r="425">
      <c r="E425" s="34"/>
      <c r="F425" s="34"/>
      <c r="G425" s="34"/>
      <c r="H425" s="34"/>
    </row>
    <row r="426">
      <c r="E426" s="34"/>
      <c r="F426" s="34"/>
      <c r="G426" s="34"/>
      <c r="H426" s="34"/>
    </row>
    <row r="427">
      <c r="E427" s="34"/>
      <c r="F427" s="34"/>
      <c r="G427" s="34"/>
      <c r="H427" s="34"/>
    </row>
    <row r="428">
      <c r="E428" s="34"/>
      <c r="F428" s="34"/>
      <c r="G428" s="34"/>
      <c r="H428" s="34"/>
    </row>
    <row r="429">
      <c r="E429" s="34"/>
      <c r="F429" s="34"/>
      <c r="G429" s="34"/>
      <c r="H429" s="34"/>
    </row>
    <row r="430">
      <c r="E430" s="34"/>
      <c r="F430" s="34"/>
      <c r="G430" s="34"/>
      <c r="H430" s="34"/>
    </row>
    <row r="431">
      <c r="E431" s="34"/>
      <c r="F431" s="34"/>
      <c r="G431" s="34"/>
      <c r="H431" s="34"/>
    </row>
    <row r="432">
      <c r="E432" s="34"/>
      <c r="F432" s="34"/>
      <c r="G432" s="34"/>
      <c r="H432" s="34"/>
    </row>
    <row r="433">
      <c r="E433" s="34"/>
      <c r="F433" s="34"/>
      <c r="G433" s="34"/>
      <c r="H433" s="34"/>
    </row>
    <row r="434">
      <c r="E434" s="34"/>
      <c r="F434" s="34"/>
      <c r="G434" s="34"/>
      <c r="H434" s="34"/>
    </row>
    <row r="435">
      <c r="E435" s="34"/>
      <c r="F435" s="34"/>
      <c r="G435" s="34"/>
      <c r="H435" s="34"/>
    </row>
    <row r="436">
      <c r="E436" s="34"/>
      <c r="F436" s="34"/>
      <c r="G436" s="34"/>
      <c r="H436" s="34"/>
    </row>
    <row r="437">
      <c r="E437" s="34"/>
      <c r="F437" s="34"/>
      <c r="G437" s="34"/>
      <c r="H437" s="34"/>
    </row>
    <row r="438">
      <c r="E438" s="34"/>
      <c r="F438" s="34"/>
      <c r="G438" s="34"/>
      <c r="H438" s="34"/>
    </row>
    <row r="439">
      <c r="E439" s="34"/>
      <c r="F439" s="34"/>
      <c r="G439" s="34"/>
      <c r="H439" s="34"/>
    </row>
    <row r="440">
      <c r="E440" s="34"/>
      <c r="F440" s="34"/>
      <c r="G440" s="34"/>
      <c r="H440" s="34"/>
    </row>
    <row r="441">
      <c r="E441" s="34"/>
      <c r="F441" s="34"/>
      <c r="G441" s="34"/>
      <c r="H441" s="34"/>
    </row>
    <row r="442">
      <c r="E442" s="34"/>
      <c r="F442" s="34"/>
      <c r="G442" s="34"/>
      <c r="H442" s="34"/>
    </row>
    <row r="443">
      <c r="E443" s="34"/>
      <c r="F443" s="34"/>
      <c r="G443" s="34"/>
      <c r="H443" s="34"/>
    </row>
    <row r="444">
      <c r="E444" s="34"/>
      <c r="F444" s="34"/>
      <c r="G444" s="34"/>
      <c r="H444" s="34"/>
    </row>
    <row r="445">
      <c r="E445" s="34"/>
      <c r="F445" s="34"/>
      <c r="G445" s="34"/>
      <c r="H445" s="34"/>
    </row>
    <row r="446">
      <c r="E446" s="34"/>
      <c r="F446" s="34"/>
      <c r="G446" s="34"/>
      <c r="H446" s="34"/>
    </row>
    <row r="447">
      <c r="E447" s="34"/>
      <c r="F447" s="34"/>
      <c r="G447" s="34"/>
      <c r="H447" s="34"/>
    </row>
    <row r="448">
      <c r="E448" s="34"/>
      <c r="F448" s="34"/>
      <c r="G448" s="34"/>
      <c r="H448" s="34"/>
    </row>
    <row r="449">
      <c r="E449" s="34"/>
      <c r="F449" s="34"/>
      <c r="G449" s="34"/>
      <c r="H449" s="34"/>
    </row>
    <row r="450">
      <c r="E450" s="34"/>
      <c r="F450" s="34"/>
      <c r="G450" s="34"/>
      <c r="H450" s="34"/>
    </row>
    <row r="451">
      <c r="E451" s="34"/>
      <c r="F451" s="34"/>
      <c r="G451" s="34"/>
      <c r="H451" s="34"/>
    </row>
    <row r="452">
      <c r="E452" s="34"/>
      <c r="F452" s="34"/>
      <c r="G452" s="34"/>
      <c r="H452" s="34"/>
    </row>
    <row r="453">
      <c r="E453" s="34"/>
      <c r="F453" s="34"/>
      <c r="G453" s="34"/>
      <c r="H453" s="34"/>
    </row>
    <row r="454">
      <c r="E454" s="34"/>
      <c r="F454" s="34"/>
      <c r="G454" s="34"/>
      <c r="H454" s="34"/>
    </row>
    <row r="455">
      <c r="E455" s="34"/>
      <c r="F455" s="34"/>
      <c r="G455" s="34"/>
      <c r="H455" s="34"/>
    </row>
    <row r="456">
      <c r="E456" s="34"/>
      <c r="F456" s="34"/>
      <c r="G456" s="34"/>
      <c r="H456" s="34"/>
    </row>
    <row r="457">
      <c r="E457" s="34"/>
      <c r="F457" s="34"/>
      <c r="G457" s="34"/>
      <c r="H457" s="34"/>
    </row>
    <row r="458">
      <c r="E458" s="34"/>
      <c r="F458" s="34"/>
      <c r="G458" s="34"/>
      <c r="H458" s="34"/>
    </row>
    <row r="459">
      <c r="E459" s="34"/>
      <c r="F459" s="34"/>
      <c r="G459" s="34"/>
      <c r="H459" s="34"/>
    </row>
    <row r="460">
      <c r="E460" s="34"/>
      <c r="F460" s="34"/>
      <c r="G460" s="34"/>
      <c r="H460" s="34"/>
    </row>
    <row r="461">
      <c r="E461" s="34"/>
      <c r="F461" s="34"/>
      <c r="G461" s="34"/>
      <c r="H461" s="34"/>
    </row>
    <row r="462">
      <c r="E462" s="34"/>
      <c r="F462" s="34"/>
      <c r="G462" s="34"/>
      <c r="H462" s="34"/>
    </row>
    <row r="463">
      <c r="E463" s="34"/>
      <c r="F463" s="34"/>
      <c r="G463" s="34"/>
      <c r="H463" s="34"/>
    </row>
    <row r="464">
      <c r="E464" s="34"/>
      <c r="F464" s="34"/>
      <c r="G464" s="34"/>
      <c r="H464" s="34"/>
    </row>
    <row r="465">
      <c r="E465" s="34"/>
      <c r="F465" s="34"/>
      <c r="G465" s="34"/>
      <c r="H465" s="34"/>
    </row>
    <row r="466">
      <c r="E466" s="34"/>
      <c r="F466" s="34"/>
      <c r="G466" s="34"/>
      <c r="H466" s="34"/>
    </row>
    <row r="467">
      <c r="E467" s="34"/>
      <c r="F467" s="34"/>
      <c r="G467" s="34"/>
      <c r="H467" s="34"/>
    </row>
    <row r="468">
      <c r="E468" s="34"/>
      <c r="F468" s="34"/>
      <c r="G468" s="34"/>
      <c r="H468" s="34"/>
    </row>
    <row r="469">
      <c r="E469" s="34"/>
      <c r="F469" s="34"/>
      <c r="G469" s="34"/>
      <c r="H469" s="34"/>
    </row>
    <row r="470">
      <c r="E470" s="34"/>
      <c r="F470" s="34"/>
      <c r="G470" s="34"/>
      <c r="H470" s="34"/>
    </row>
    <row r="471">
      <c r="E471" s="34"/>
      <c r="F471" s="34"/>
      <c r="G471" s="34"/>
      <c r="H471" s="34"/>
    </row>
    <row r="472">
      <c r="E472" s="34"/>
      <c r="F472" s="34"/>
      <c r="G472" s="34"/>
      <c r="H472" s="34"/>
    </row>
    <row r="473">
      <c r="E473" s="34"/>
      <c r="F473" s="34"/>
      <c r="G473" s="34"/>
      <c r="H473" s="34"/>
    </row>
    <row r="474">
      <c r="E474" s="34"/>
      <c r="F474" s="34"/>
      <c r="G474" s="34"/>
      <c r="H474" s="34"/>
    </row>
    <row r="475">
      <c r="E475" s="34"/>
      <c r="F475" s="34"/>
      <c r="G475" s="34"/>
      <c r="H475" s="34"/>
    </row>
    <row r="476">
      <c r="E476" s="34"/>
      <c r="F476" s="34"/>
      <c r="G476" s="34"/>
      <c r="H476" s="34"/>
    </row>
    <row r="477">
      <c r="E477" s="34"/>
      <c r="F477" s="34"/>
      <c r="G477" s="34"/>
      <c r="H477" s="34"/>
    </row>
    <row r="478">
      <c r="E478" s="34"/>
      <c r="F478" s="34"/>
      <c r="G478" s="34"/>
      <c r="H478" s="34"/>
    </row>
    <row r="479">
      <c r="E479" s="34"/>
      <c r="F479" s="34"/>
      <c r="G479" s="34"/>
      <c r="H479" s="34"/>
    </row>
    <row r="480">
      <c r="E480" s="34"/>
      <c r="F480" s="34"/>
      <c r="G480" s="34"/>
      <c r="H480" s="34"/>
    </row>
    <row r="481">
      <c r="E481" s="34"/>
      <c r="F481" s="34"/>
      <c r="G481" s="34"/>
      <c r="H481" s="34"/>
    </row>
    <row r="482">
      <c r="E482" s="34"/>
      <c r="F482" s="34"/>
      <c r="G482" s="34"/>
      <c r="H482" s="34"/>
    </row>
    <row r="483">
      <c r="E483" s="34"/>
      <c r="F483" s="34"/>
      <c r="G483" s="34"/>
      <c r="H483" s="34"/>
    </row>
    <row r="484">
      <c r="E484" s="34"/>
      <c r="F484" s="34"/>
      <c r="G484" s="34"/>
      <c r="H484" s="34"/>
    </row>
    <row r="485">
      <c r="E485" s="34"/>
      <c r="F485" s="34"/>
      <c r="G485" s="34"/>
      <c r="H485" s="34"/>
    </row>
    <row r="486">
      <c r="E486" s="34"/>
      <c r="F486" s="34"/>
      <c r="G486" s="34"/>
      <c r="H486" s="34"/>
    </row>
    <row r="487">
      <c r="E487" s="34"/>
      <c r="F487" s="34"/>
      <c r="G487" s="34"/>
      <c r="H487" s="34"/>
    </row>
    <row r="488">
      <c r="E488" s="34"/>
      <c r="F488" s="34"/>
      <c r="G488" s="34"/>
      <c r="H488" s="34"/>
    </row>
    <row r="489">
      <c r="E489" s="34"/>
      <c r="F489" s="34"/>
      <c r="G489" s="34"/>
      <c r="H489" s="34"/>
    </row>
    <row r="490">
      <c r="E490" s="34"/>
      <c r="F490" s="34"/>
      <c r="G490" s="34"/>
      <c r="H490" s="34"/>
    </row>
    <row r="491">
      <c r="E491" s="34"/>
      <c r="F491" s="34"/>
      <c r="G491" s="34"/>
      <c r="H491" s="34"/>
    </row>
    <row r="492">
      <c r="E492" s="34"/>
      <c r="F492" s="34"/>
      <c r="G492" s="34"/>
      <c r="H492" s="34"/>
    </row>
    <row r="493">
      <c r="E493" s="34"/>
      <c r="F493" s="34"/>
      <c r="G493" s="34"/>
      <c r="H493" s="34"/>
    </row>
    <row r="494">
      <c r="E494" s="34"/>
      <c r="F494" s="34"/>
      <c r="G494" s="34"/>
      <c r="H494" s="34"/>
    </row>
    <row r="495">
      <c r="E495" s="34"/>
      <c r="F495" s="34"/>
      <c r="G495" s="34"/>
      <c r="H495" s="34"/>
    </row>
    <row r="496">
      <c r="E496" s="34"/>
      <c r="F496" s="34"/>
      <c r="G496" s="34"/>
      <c r="H496" s="34"/>
    </row>
    <row r="497">
      <c r="E497" s="34"/>
      <c r="F497" s="34"/>
      <c r="G497" s="34"/>
      <c r="H497" s="34"/>
    </row>
    <row r="498">
      <c r="E498" s="34"/>
      <c r="F498" s="34"/>
      <c r="G498" s="34"/>
      <c r="H498" s="34"/>
    </row>
    <row r="499">
      <c r="E499" s="34"/>
      <c r="F499" s="34"/>
      <c r="G499" s="34"/>
      <c r="H499" s="34"/>
    </row>
    <row r="500">
      <c r="E500" s="34"/>
      <c r="F500" s="34"/>
      <c r="G500" s="34"/>
      <c r="H500" s="34"/>
    </row>
    <row r="501">
      <c r="E501" s="34"/>
      <c r="F501" s="34"/>
      <c r="G501" s="34"/>
      <c r="H501" s="34"/>
    </row>
    <row r="502">
      <c r="E502" s="34"/>
      <c r="F502" s="34"/>
      <c r="G502" s="34"/>
      <c r="H502" s="34"/>
    </row>
    <row r="503">
      <c r="E503" s="34"/>
      <c r="F503" s="34"/>
      <c r="G503" s="34"/>
      <c r="H503" s="34"/>
    </row>
    <row r="504">
      <c r="E504" s="34"/>
      <c r="F504" s="34"/>
      <c r="G504" s="34"/>
      <c r="H504" s="34"/>
    </row>
    <row r="505">
      <c r="E505" s="34"/>
      <c r="F505" s="34"/>
      <c r="G505" s="34"/>
      <c r="H505" s="34"/>
    </row>
    <row r="506">
      <c r="E506" s="34"/>
      <c r="F506" s="34"/>
      <c r="G506" s="34"/>
      <c r="H506" s="34"/>
    </row>
    <row r="507">
      <c r="E507" s="34"/>
      <c r="F507" s="34"/>
      <c r="G507" s="34"/>
      <c r="H507" s="34"/>
    </row>
    <row r="508">
      <c r="E508" s="34"/>
      <c r="F508" s="34"/>
      <c r="G508" s="34"/>
      <c r="H508" s="34"/>
    </row>
    <row r="509">
      <c r="E509" s="34"/>
      <c r="F509" s="34"/>
      <c r="G509" s="34"/>
      <c r="H509" s="34"/>
    </row>
    <row r="510">
      <c r="E510" s="34"/>
      <c r="F510" s="34"/>
      <c r="G510" s="34"/>
      <c r="H510" s="34"/>
    </row>
    <row r="511">
      <c r="E511" s="34"/>
      <c r="F511" s="34"/>
      <c r="G511" s="34"/>
      <c r="H511" s="34"/>
    </row>
    <row r="512">
      <c r="E512" s="34"/>
      <c r="F512" s="34"/>
      <c r="G512" s="34"/>
      <c r="H512" s="34"/>
    </row>
    <row r="513">
      <c r="E513" s="34"/>
      <c r="F513" s="34"/>
      <c r="G513" s="34"/>
      <c r="H513" s="34"/>
    </row>
    <row r="514">
      <c r="E514" s="34"/>
      <c r="F514" s="34"/>
      <c r="G514" s="34"/>
      <c r="H514" s="34"/>
    </row>
    <row r="515">
      <c r="E515" s="34"/>
      <c r="F515" s="34"/>
      <c r="G515" s="34"/>
      <c r="H515" s="34"/>
    </row>
    <row r="516">
      <c r="E516" s="34"/>
      <c r="F516" s="34"/>
      <c r="G516" s="34"/>
      <c r="H516" s="34"/>
    </row>
    <row r="517">
      <c r="E517" s="34"/>
      <c r="F517" s="34"/>
      <c r="G517" s="34"/>
      <c r="H517" s="34"/>
    </row>
    <row r="518">
      <c r="E518" s="34"/>
      <c r="F518" s="34"/>
      <c r="G518" s="34"/>
      <c r="H518" s="34"/>
    </row>
    <row r="519">
      <c r="E519" s="34"/>
      <c r="F519" s="34"/>
      <c r="G519" s="34"/>
      <c r="H519" s="34"/>
    </row>
    <row r="520">
      <c r="E520" s="34"/>
      <c r="F520" s="34"/>
      <c r="G520" s="34"/>
      <c r="H520" s="34"/>
    </row>
    <row r="521">
      <c r="E521" s="34"/>
      <c r="F521" s="34"/>
      <c r="G521" s="34"/>
      <c r="H521" s="34"/>
    </row>
    <row r="522">
      <c r="E522" s="34"/>
      <c r="F522" s="34"/>
      <c r="G522" s="34"/>
      <c r="H522" s="34"/>
    </row>
    <row r="523">
      <c r="E523" s="34"/>
      <c r="F523" s="34"/>
      <c r="G523" s="34"/>
      <c r="H523" s="34"/>
    </row>
    <row r="524">
      <c r="E524" s="34"/>
      <c r="F524" s="34"/>
      <c r="G524" s="34"/>
      <c r="H524" s="34"/>
    </row>
    <row r="525">
      <c r="E525" s="34"/>
      <c r="F525" s="34"/>
      <c r="G525" s="34"/>
      <c r="H525" s="34"/>
    </row>
    <row r="526">
      <c r="E526" s="34"/>
      <c r="F526" s="34"/>
      <c r="G526" s="34"/>
      <c r="H526" s="34"/>
    </row>
    <row r="527">
      <c r="E527" s="34"/>
      <c r="F527" s="34"/>
      <c r="G527" s="34"/>
      <c r="H527" s="34"/>
    </row>
    <row r="528">
      <c r="E528" s="34"/>
      <c r="F528" s="34"/>
      <c r="G528" s="34"/>
      <c r="H528" s="34"/>
    </row>
    <row r="529">
      <c r="E529" s="34"/>
      <c r="F529" s="34"/>
      <c r="G529" s="34"/>
      <c r="H529" s="34"/>
    </row>
    <row r="530">
      <c r="E530" s="34"/>
      <c r="F530" s="34"/>
      <c r="G530" s="34"/>
      <c r="H530" s="34"/>
    </row>
    <row r="531">
      <c r="E531" s="34"/>
      <c r="F531" s="34"/>
      <c r="G531" s="34"/>
      <c r="H531" s="34"/>
    </row>
    <row r="532">
      <c r="E532" s="34"/>
      <c r="F532" s="34"/>
      <c r="G532" s="34"/>
      <c r="H532" s="34"/>
    </row>
    <row r="533">
      <c r="E533" s="34"/>
      <c r="F533" s="34"/>
      <c r="G533" s="34"/>
      <c r="H533" s="34"/>
    </row>
    <row r="534">
      <c r="E534" s="34"/>
      <c r="F534" s="34"/>
      <c r="G534" s="34"/>
      <c r="H534" s="34"/>
    </row>
    <row r="535">
      <c r="E535" s="34"/>
      <c r="F535" s="34"/>
      <c r="G535" s="34"/>
      <c r="H535" s="34"/>
    </row>
    <row r="536">
      <c r="E536" s="34"/>
      <c r="F536" s="34"/>
      <c r="G536" s="34"/>
      <c r="H536" s="34"/>
    </row>
    <row r="537">
      <c r="E537" s="34"/>
      <c r="F537" s="34"/>
      <c r="G537" s="34"/>
      <c r="H537" s="34"/>
    </row>
    <row r="538">
      <c r="E538" s="34"/>
      <c r="F538" s="34"/>
      <c r="G538" s="34"/>
      <c r="H538" s="34"/>
    </row>
    <row r="539">
      <c r="E539" s="34"/>
      <c r="F539" s="34"/>
      <c r="G539" s="34"/>
      <c r="H539" s="34"/>
    </row>
    <row r="540">
      <c r="E540" s="34"/>
      <c r="F540" s="34"/>
      <c r="G540" s="34"/>
      <c r="H540" s="34"/>
    </row>
    <row r="541">
      <c r="E541" s="34"/>
      <c r="F541" s="34"/>
      <c r="G541" s="34"/>
      <c r="H541" s="34"/>
    </row>
    <row r="542">
      <c r="E542" s="34"/>
      <c r="F542" s="34"/>
      <c r="G542" s="34"/>
      <c r="H542" s="34"/>
    </row>
    <row r="543">
      <c r="E543" s="34"/>
      <c r="F543" s="34"/>
      <c r="G543" s="34"/>
      <c r="H543" s="34"/>
    </row>
    <row r="544">
      <c r="E544" s="34"/>
      <c r="F544" s="34"/>
      <c r="G544" s="34"/>
      <c r="H544" s="34"/>
    </row>
    <row r="545">
      <c r="E545" s="34"/>
      <c r="F545" s="34"/>
      <c r="G545" s="34"/>
      <c r="H545" s="34"/>
    </row>
    <row r="546">
      <c r="E546" s="34"/>
      <c r="F546" s="34"/>
      <c r="G546" s="34"/>
      <c r="H546" s="34"/>
    </row>
    <row r="547">
      <c r="E547" s="34"/>
      <c r="F547" s="34"/>
      <c r="G547" s="34"/>
      <c r="H547" s="34"/>
    </row>
    <row r="548">
      <c r="E548" s="34"/>
      <c r="F548" s="34"/>
      <c r="G548" s="34"/>
      <c r="H548" s="34"/>
    </row>
    <row r="549">
      <c r="E549" s="34"/>
      <c r="F549" s="34"/>
      <c r="G549" s="34"/>
      <c r="H549" s="34"/>
    </row>
    <row r="550">
      <c r="E550" s="34"/>
      <c r="F550" s="34"/>
      <c r="G550" s="34"/>
      <c r="H550" s="34"/>
    </row>
    <row r="551">
      <c r="E551" s="34"/>
      <c r="F551" s="34"/>
      <c r="G551" s="34"/>
      <c r="H551" s="34"/>
    </row>
    <row r="552">
      <c r="E552" s="34"/>
      <c r="F552" s="34"/>
      <c r="G552" s="34"/>
      <c r="H552" s="34"/>
    </row>
    <row r="553">
      <c r="E553" s="34"/>
      <c r="F553" s="34"/>
      <c r="G553" s="34"/>
      <c r="H553" s="34"/>
    </row>
    <row r="554">
      <c r="E554" s="34"/>
      <c r="F554" s="34"/>
      <c r="G554" s="34"/>
      <c r="H554" s="34"/>
    </row>
    <row r="555">
      <c r="E555" s="34"/>
      <c r="F555" s="34"/>
      <c r="G555" s="34"/>
      <c r="H555" s="34"/>
    </row>
    <row r="556">
      <c r="E556" s="34"/>
      <c r="F556" s="34"/>
      <c r="G556" s="34"/>
      <c r="H556" s="34"/>
    </row>
    <row r="557">
      <c r="E557" s="34"/>
      <c r="F557" s="34"/>
      <c r="G557" s="34"/>
      <c r="H557" s="34"/>
    </row>
    <row r="558">
      <c r="E558" s="34"/>
      <c r="F558" s="34"/>
      <c r="G558" s="34"/>
      <c r="H558" s="34"/>
    </row>
    <row r="559">
      <c r="E559" s="34"/>
      <c r="F559" s="34"/>
      <c r="G559" s="34"/>
      <c r="H559" s="34"/>
    </row>
    <row r="560">
      <c r="E560" s="34"/>
      <c r="F560" s="34"/>
      <c r="G560" s="34"/>
      <c r="H560" s="34"/>
    </row>
    <row r="561">
      <c r="E561" s="34"/>
      <c r="F561" s="34"/>
      <c r="G561" s="34"/>
      <c r="H561" s="34"/>
    </row>
    <row r="562">
      <c r="E562" s="34"/>
      <c r="F562" s="34"/>
      <c r="G562" s="34"/>
      <c r="H562" s="34"/>
    </row>
    <row r="563">
      <c r="E563" s="34"/>
      <c r="F563" s="34"/>
      <c r="G563" s="34"/>
      <c r="H563" s="34"/>
    </row>
    <row r="564">
      <c r="E564" s="34"/>
      <c r="F564" s="34"/>
      <c r="G564" s="34"/>
      <c r="H564" s="34"/>
    </row>
    <row r="565">
      <c r="E565" s="34"/>
      <c r="F565" s="34"/>
      <c r="G565" s="34"/>
      <c r="H565" s="34"/>
    </row>
    <row r="566">
      <c r="E566" s="34"/>
      <c r="F566" s="34"/>
      <c r="G566" s="34"/>
      <c r="H566" s="34"/>
    </row>
    <row r="567">
      <c r="E567" s="34"/>
      <c r="F567" s="34"/>
      <c r="G567" s="34"/>
      <c r="H567" s="34"/>
    </row>
    <row r="568">
      <c r="E568" s="34"/>
      <c r="F568" s="34"/>
      <c r="G568" s="34"/>
      <c r="H568" s="34"/>
    </row>
    <row r="569">
      <c r="E569" s="34"/>
      <c r="F569" s="34"/>
      <c r="G569" s="34"/>
      <c r="H569" s="34"/>
    </row>
    <row r="570">
      <c r="E570" s="34"/>
      <c r="F570" s="34"/>
      <c r="G570" s="34"/>
      <c r="H570" s="34"/>
    </row>
    <row r="571">
      <c r="E571" s="34"/>
      <c r="F571" s="34"/>
      <c r="G571" s="34"/>
      <c r="H571" s="34"/>
    </row>
    <row r="572">
      <c r="E572" s="34"/>
      <c r="F572" s="34"/>
      <c r="G572" s="34"/>
      <c r="H572" s="34"/>
    </row>
    <row r="573">
      <c r="E573" s="34"/>
      <c r="F573" s="34"/>
      <c r="G573" s="34"/>
      <c r="H573" s="34"/>
    </row>
    <row r="574">
      <c r="E574" s="34"/>
      <c r="F574" s="34"/>
      <c r="G574" s="34"/>
      <c r="H574" s="34"/>
    </row>
    <row r="575">
      <c r="E575" s="34"/>
      <c r="F575" s="34"/>
      <c r="G575" s="34"/>
      <c r="H575" s="34"/>
    </row>
    <row r="576">
      <c r="E576" s="34"/>
      <c r="F576" s="34"/>
      <c r="G576" s="34"/>
      <c r="H576" s="34"/>
    </row>
    <row r="577">
      <c r="E577" s="34"/>
      <c r="F577" s="34"/>
      <c r="G577" s="34"/>
      <c r="H577" s="34"/>
    </row>
    <row r="578">
      <c r="E578" s="34"/>
      <c r="F578" s="34"/>
      <c r="G578" s="34"/>
      <c r="H578" s="34"/>
    </row>
    <row r="579">
      <c r="E579" s="34"/>
      <c r="F579" s="34"/>
      <c r="G579" s="34"/>
      <c r="H579" s="34"/>
    </row>
    <row r="580">
      <c r="E580" s="34"/>
      <c r="F580" s="34"/>
      <c r="G580" s="34"/>
      <c r="H580" s="34"/>
    </row>
    <row r="581">
      <c r="E581" s="34"/>
      <c r="F581" s="34"/>
      <c r="G581" s="34"/>
      <c r="H581" s="34"/>
    </row>
    <row r="582">
      <c r="E582" s="34"/>
      <c r="F582" s="34"/>
      <c r="G582" s="34"/>
      <c r="H582" s="34"/>
    </row>
    <row r="583">
      <c r="E583" s="34"/>
      <c r="F583" s="34"/>
      <c r="G583" s="34"/>
      <c r="H583" s="34"/>
    </row>
    <row r="584">
      <c r="E584" s="34"/>
      <c r="F584" s="34"/>
      <c r="G584" s="34"/>
      <c r="H584" s="34"/>
    </row>
    <row r="585">
      <c r="E585" s="34"/>
      <c r="F585" s="34"/>
      <c r="G585" s="34"/>
      <c r="H585" s="34"/>
    </row>
    <row r="586">
      <c r="E586" s="34"/>
      <c r="F586" s="34"/>
      <c r="G586" s="34"/>
      <c r="H586" s="34"/>
    </row>
    <row r="587">
      <c r="E587" s="34"/>
      <c r="F587" s="34"/>
      <c r="G587" s="34"/>
      <c r="H587" s="34"/>
    </row>
    <row r="588">
      <c r="E588" s="34"/>
      <c r="F588" s="34"/>
      <c r="G588" s="34"/>
      <c r="H588" s="34"/>
    </row>
    <row r="589">
      <c r="E589" s="34"/>
      <c r="F589" s="34"/>
      <c r="G589" s="34"/>
      <c r="H589" s="34"/>
    </row>
    <row r="590">
      <c r="E590" s="34"/>
      <c r="F590" s="34"/>
      <c r="G590" s="34"/>
      <c r="H590" s="34"/>
    </row>
    <row r="591">
      <c r="E591" s="34"/>
      <c r="F591" s="34"/>
      <c r="G591" s="34"/>
      <c r="H591" s="34"/>
    </row>
    <row r="592">
      <c r="E592" s="34"/>
      <c r="F592" s="34"/>
      <c r="G592" s="34"/>
      <c r="H592" s="34"/>
    </row>
    <row r="593">
      <c r="E593" s="34"/>
      <c r="F593" s="34"/>
      <c r="G593" s="34"/>
      <c r="H593" s="34"/>
    </row>
    <row r="594">
      <c r="E594" s="34"/>
      <c r="F594" s="34"/>
      <c r="G594" s="34"/>
      <c r="H594" s="34"/>
    </row>
    <row r="595">
      <c r="E595" s="34"/>
      <c r="F595" s="34"/>
      <c r="G595" s="34"/>
      <c r="H595" s="34"/>
    </row>
    <row r="596">
      <c r="E596" s="34"/>
      <c r="F596" s="34"/>
      <c r="G596" s="34"/>
      <c r="H596" s="34"/>
    </row>
    <row r="597">
      <c r="E597" s="34"/>
      <c r="F597" s="34"/>
      <c r="G597" s="34"/>
      <c r="H597" s="34"/>
    </row>
    <row r="598">
      <c r="E598" s="34"/>
      <c r="F598" s="34"/>
      <c r="G598" s="34"/>
      <c r="H598" s="34"/>
    </row>
    <row r="599">
      <c r="E599" s="34"/>
      <c r="F599" s="34"/>
      <c r="G599" s="34"/>
      <c r="H599" s="34"/>
    </row>
    <row r="600">
      <c r="E600" s="34"/>
      <c r="F600" s="34"/>
      <c r="G600" s="34"/>
      <c r="H600" s="34"/>
    </row>
    <row r="601">
      <c r="E601" s="34"/>
      <c r="F601" s="34"/>
      <c r="G601" s="34"/>
      <c r="H601" s="34"/>
    </row>
    <row r="602">
      <c r="E602" s="34"/>
      <c r="F602" s="34"/>
      <c r="G602" s="34"/>
      <c r="H602" s="34"/>
    </row>
    <row r="603">
      <c r="E603" s="34"/>
      <c r="F603" s="34"/>
      <c r="G603" s="34"/>
      <c r="H603" s="34"/>
    </row>
    <row r="604">
      <c r="E604" s="34"/>
      <c r="F604" s="34"/>
      <c r="G604" s="34"/>
      <c r="H604" s="34"/>
    </row>
    <row r="605">
      <c r="E605" s="34"/>
      <c r="F605" s="34"/>
      <c r="G605" s="34"/>
      <c r="H605" s="34"/>
    </row>
    <row r="606">
      <c r="E606" s="34"/>
      <c r="F606" s="34"/>
      <c r="G606" s="34"/>
      <c r="H606" s="34"/>
    </row>
    <row r="607">
      <c r="E607" s="34"/>
      <c r="F607" s="34"/>
      <c r="G607" s="34"/>
      <c r="H607" s="34"/>
    </row>
    <row r="608">
      <c r="E608" s="34"/>
      <c r="F608" s="34"/>
      <c r="G608" s="34"/>
      <c r="H608" s="34"/>
    </row>
    <row r="609">
      <c r="E609" s="34"/>
      <c r="F609" s="34"/>
      <c r="G609" s="34"/>
      <c r="H609" s="34"/>
    </row>
    <row r="610">
      <c r="E610" s="34"/>
      <c r="F610" s="34"/>
      <c r="G610" s="34"/>
      <c r="H610" s="34"/>
    </row>
    <row r="611">
      <c r="E611" s="34"/>
      <c r="F611" s="34"/>
      <c r="G611" s="34"/>
      <c r="H611" s="34"/>
    </row>
    <row r="612">
      <c r="E612" s="34"/>
      <c r="F612" s="34"/>
      <c r="G612" s="34"/>
      <c r="H612" s="34"/>
    </row>
    <row r="613">
      <c r="E613" s="34"/>
      <c r="F613" s="34"/>
      <c r="G613" s="34"/>
      <c r="H613" s="34"/>
    </row>
    <row r="614">
      <c r="E614" s="34"/>
      <c r="F614" s="34"/>
      <c r="G614" s="34"/>
      <c r="H614" s="34"/>
    </row>
    <row r="615">
      <c r="E615" s="34"/>
      <c r="F615" s="34"/>
      <c r="G615" s="34"/>
      <c r="H615" s="34"/>
    </row>
    <row r="616">
      <c r="E616" s="34"/>
      <c r="F616" s="34"/>
      <c r="G616" s="34"/>
      <c r="H616" s="34"/>
    </row>
    <row r="617">
      <c r="E617" s="34"/>
      <c r="F617" s="34"/>
      <c r="G617" s="34"/>
      <c r="H617" s="34"/>
    </row>
    <row r="618">
      <c r="E618" s="34"/>
      <c r="F618" s="34"/>
      <c r="G618" s="34"/>
      <c r="H618" s="34"/>
    </row>
    <row r="619">
      <c r="E619" s="34"/>
      <c r="F619" s="34"/>
      <c r="G619" s="34"/>
      <c r="H619" s="34"/>
    </row>
    <row r="620">
      <c r="E620" s="34"/>
      <c r="F620" s="34"/>
      <c r="G620" s="34"/>
      <c r="H620" s="34"/>
    </row>
    <row r="621">
      <c r="E621" s="34"/>
      <c r="F621" s="34"/>
      <c r="G621" s="34"/>
      <c r="H621" s="34"/>
    </row>
    <row r="622">
      <c r="E622" s="34"/>
      <c r="F622" s="34"/>
      <c r="G622" s="34"/>
      <c r="H622" s="34"/>
    </row>
    <row r="623">
      <c r="E623" s="34"/>
      <c r="F623" s="34"/>
      <c r="G623" s="34"/>
      <c r="H623" s="34"/>
    </row>
    <row r="624">
      <c r="E624" s="34"/>
      <c r="F624" s="34"/>
      <c r="G624" s="34"/>
      <c r="H624" s="34"/>
    </row>
    <row r="625">
      <c r="E625" s="34"/>
      <c r="F625" s="34"/>
      <c r="G625" s="34"/>
      <c r="H625" s="34"/>
    </row>
    <row r="626">
      <c r="E626" s="34"/>
      <c r="F626" s="34"/>
      <c r="G626" s="34"/>
      <c r="H626" s="34"/>
    </row>
    <row r="627">
      <c r="E627" s="34"/>
      <c r="F627" s="34"/>
      <c r="G627" s="34"/>
      <c r="H627" s="34"/>
    </row>
    <row r="628">
      <c r="E628" s="34"/>
      <c r="F628" s="34"/>
      <c r="G628" s="34"/>
      <c r="H628" s="34"/>
    </row>
    <row r="629">
      <c r="E629" s="34"/>
      <c r="F629" s="34"/>
      <c r="G629" s="34"/>
      <c r="H629" s="34"/>
    </row>
    <row r="630">
      <c r="E630" s="34"/>
      <c r="F630" s="34"/>
      <c r="G630" s="34"/>
      <c r="H630" s="34"/>
    </row>
    <row r="631">
      <c r="E631" s="34"/>
      <c r="F631" s="34"/>
      <c r="G631" s="34"/>
      <c r="H631" s="34"/>
    </row>
    <row r="632">
      <c r="E632" s="34"/>
      <c r="F632" s="34"/>
      <c r="G632" s="34"/>
      <c r="H632" s="34"/>
    </row>
    <row r="633">
      <c r="E633" s="34"/>
      <c r="F633" s="34"/>
      <c r="G633" s="34"/>
      <c r="H633" s="34"/>
    </row>
    <row r="634">
      <c r="E634" s="34"/>
      <c r="F634" s="34"/>
      <c r="G634" s="34"/>
      <c r="H634" s="34"/>
    </row>
    <row r="635">
      <c r="E635" s="34"/>
      <c r="F635" s="34"/>
      <c r="G635" s="34"/>
      <c r="H635" s="34"/>
    </row>
    <row r="636">
      <c r="E636" s="34"/>
      <c r="F636" s="34"/>
      <c r="G636" s="34"/>
      <c r="H636" s="34"/>
    </row>
    <row r="637">
      <c r="E637" s="34"/>
      <c r="F637" s="34"/>
      <c r="G637" s="34"/>
      <c r="H637" s="34"/>
    </row>
    <row r="638">
      <c r="E638" s="34"/>
      <c r="F638" s="34"/>
      <c r="G638" s="34"/>
      <c r="H638" s="34"/>
    </row>
    <row r="639">
      <c r="E639" s="34"/>
      <c r="F639" s="34"/>
      <c r="G639" s="34"/>
      <c r="H639" s="34"/>
    </row>
    <row r="640">
      <c r="E640" s="34"/>
      <c r="F640" s="34"/>
      <c r="G640" s="34"/>
      <c r="H640" s="34"/>
    </row>
    <row r="641">
      <c r="E641" s="34"/>
      <c r="F641" s="34"/>
      <c r="G641" s="34"/>
      <c r="H641" s="34"/>
    </row>
    <row r="642">
      <c r="E642" s="34"/>
      <c r="F642" s="34"/>
      <c r="G642" s="34"/>
      <c r="H642" s="34"/>
    </row>
    <row r="643">
      <c r="E643" s="34"/>
      <c r="F643" s="34"/>
      <c r="G643" s="34"/>
      <c r="H643" s="34"/>
    </row>
    <row r="644">
      <c r="E644" s="34"/>
      <c r="F644" s="34"/>
      <c r="G644" s="34"/>
      <c r="H644" s="34"/>
    </row>
    <row r="645">
      <c r="E645" s="34"/>
      <c r="F645" s="34"/>
      <c r="G645" s="34"/>
      <c r="H645" s="34"/>
    </row>
    <row r="646">
      <c r="E646" s="34"/>
      <c r="F646" s="34"/>
      <c r="G646" s="34"/>
      <c r="H646" s="34"/>
    </row>
    <row r="647">
      <c r="E647" s="34"/>
      <c r="F647" s="34"/>
      <c r="G647" s="34"/>
      <c r="H647" s="34"/>
    </row>
    <row r="648">
      <c r="E648" s="34"/>
      <c r="F648" s="34"/>
      <c r="G648" s="34"/>
      <c r="H648" s="34"/>
    </row>
    <row r="649">
      <c r="E649" s="34"/>
      <c r="F649" s="34"/>
      <c r="G649" s="34"/>
      <c r="H649" s="34"/>
    </row>
    <row r="650">
      <c r="E650" s="34"/>
      <c r="F650" s="34"/>
      <c r="G650" s="34"/>
      <c r="H650" s="34"/>
    </row>
    <row r="651">
      <c r="E651" s="34"/>
      <c r="F651" s="34"/>
      <c r="G651" s="34"/>
      <c r="H651" s="34"/>
    </row>
    <row r="652">
      <c r="E652" s="34"/>
      <c r="F652" s="34"/>
      <c r="G652" s="34"/>
      <c r="H652" s="34"/>
    </row>
    <row r="653">
      <c r="E653" s="34"/>
      <c r="F653" s="34"/>
      <c r="G653" s="34"/>
      <c r="H653" s="34"/>
    </row>
    <row r="654">
      <c r="E654" s="34"/>
      <c r="F654" s="34"/>
      <c r="G654" s="34"/>
      <c r="H654" s="34"/>
    </row>
    <row r="655">
      <c r="E655" s="34"/>
      <c r="F655" s="34"/>
      <c r="G655" s="34"/>
      <c r="H655" s="34"/>
    </row>
    <row r="656">
      <c r="E656" s="34"/>
      <c r="F656" s="34"/>
      <c r="G656" s="34"/>
      <c r="H656" s="34"/>
    </row>
    <row r="657">
      <c r="E657" s="34"/>
      <c r="F657" s="34"/>
      <c r="G657" s="34"/>
      <c r="H657" s="34"/>
    </row>
    <row r="658">
      <c r="E658" s="34"/>
      <c r="F658" s="34"/>
      <c r="G658" s="34"/>
      <c r="H658" s="34"/>
    </row>
    <row r="659">
      <c r="E659" s="34"/>
      <c r="F659" s="34"/>
      <c r="G659" s="34"/>
      <c r="H659" s="34"/>
    </row>
    <row r="660">
      <c r="E660" s="34"/>
      <c r="F660" s="34"/>
      <c r="G660" s="34"/>
      <c r="H660" s="34"/>
    </row>
    <row r="661">
      <c r="E661" s="34"/>
      <c r="F661" s="34"/>
      <c r="G661" s="34"/>
      <c r="H661" s="34"/>
    </row>
    <row r="662">
      <c r="E662" s="34"/>
      <c r="F662" s="34"/>
      <c r="G662" s="34"/>
      <c r="H662" s="34"/>
    </row>
    <row r="663">
      <c r="E663" s="34"/>
      <c r="F663" s="34"/>
      <c r="G663" s="34"/>
      <c r="H663" s="34"/>
    </row>
    <row r="664">
      <c r="E664" s="34"/>
      <c r="F664" s="34"/>
      <c r="G664" s="34"/>
      <c r="H664" s="34"/>
    </row>
    <row r="665">
      <c r="E665" s="34"/>
      <c r="F665" s="34"/>
      <c r="G665" s="34"/>
      <c r="H665" s="34"/>
    </row>
    <row r="666">
      <c r="E666" s="34"/>
      <c r="F666" s="34"/>
      <c r="G666" s="34"/>
      <c r="H666" s="34"/>
    </row>
    <row r="667">
      <c r="E667" s="34"/>
      <c r="F667" s="34"/>
      <c r="G667" s="34"/>
      <c r="H667" s="34"/>
    </row>
    <row r="668">
      <c r="E668" s="34"/>
      <c r="F668" s="34"/>
      <c r="G668" s="34"/>
      <c r="H668" s="34"/>
    </row>
    <row r="669">
      <c r="E669" s="34"/>
      <c r="F669" s="34"/>
      <c r="G669" s="34"/>
      <c r="H669" s="34"/>
    </row>
    <row r="670">
      <c r="E670" s="34"/>
      <c r="F670" s="34"/>
      <c r="G670" s="34"/>
      <c r="H670" s="34"/>
    </row>
    <row r="671">
      <c r="E671" s="34"/>
      <c r="F671" s="34"/>
      <c r="G671" s="34"/>
      <c r="H671" s="34"/>
    </row>
    <row r="672">
      <c r="E672" s="34"/>
      <c r="F672" s="34"/>
      <c r="G672" s="34"/>
      <c r="H672" s="34"/>
    </row>
    <row r="673">
      <c r="E673" s="34"/>
      <c r="F673" s="34"/>
      <c r="G673" s="34"/>
      <c r="H673" s="34"/>
    </row>
    <row r="674">
      <c r="E674" s="34"/>
      <c r="F674" s="34"/>
      <c r="G674" s="34"/>
      <c r="H674" s="34"/>
    </row>
    <row r="675">
      <c r="E675" s="34"/>
      <c r="F675" s="34"/>
      <c r="G675" s="34"/>
      <c r="H675" s="34"/>
    </row>
    <row r="676">
      <c r="E676" s="34"/>
      <c r="F676" s="34"/>
      <c r="G676" s="34"/>
      <c r="H676" s="34"/>
    </row>
    <row r="677">
      <c r="E677" s="34"/>
      <c r="F677" s="34"/>
      <c r="G677" s="34"/>
      <c r="H677" s="34"/>
    </row>
    <row r="678">
      <c r="E678" s="34"/>
      <c r="F678" s="34"/>
      <c r="G678" s="34"/>
      <c r="H678" s="34"/>
    </row>
    <row r="679">
      <c r="E679" s="34"/>
      <c r="F679" s="34"/>
      <c r="G679" s="34"/>
      <c r="H679" s="34"/>
    </row>
    <row r="680">
      <c r="E680" s="34"/>
      <c r="F680" s="34"/>
      <c r="G680" s="34"/>
      <c r="H680" s="34"/>
    </row>
    <row r="681">
      <c r="E681" s="34"/>
      <c r="F681" s="34"/>
      <c r="G681" s="34"/>
      <c r="H681" s="34"/>
    </row>
    <row r="682">
      <c r="E682" s="34"/>
      <c r="F682" s="34"/>
      <c r="G682" s="34"/>
      <c r="H682" s="34"/>
    </row>
    <row r="683">
      <c r="E683" s="34"/>
      <c r="F683" s="34"/>
      <c r="G683" s="34"/>
      <c r="H683" s="34"/>
    </row>
    <row r="684">
      <c r="E684" s="34"/>
      <c r="F684" s="34"/>
      <c r="G684" s="34"/>
      <c r="H684" s="34"/>
    </row>
    <row r="685">
      <c r="E685" s="34"/>
      <c r="F685" s="34"/>
      <c r="G685" s="34"/>
      <c r="H685" s="34"/>
    </row>
    <row r="686">
      <c r="E686" s="34"/>
      <c r="F686" s="34"/>
      <c r="G686" s="34"/>
      <c r="H686" s="34"/>
    </row>
    <row r="687">
      <c r="E687" s="34"/>
      <c r="F687" s="34"/>
      <c r="G687" s="34"/>
      <c r="H687" s="34"/>
    </row>
    <row r="688">
      <c r="E688" s="34"/>
      <c r="F688" s="34"/>
      <c r="G688" s="34"/>
      <c r="H688" s="34"/>
    </row>
    <row r="689">
      <c r="E689" s="34"/>
      <c r="F689" s="34"/>
      <c r="G689" s="34"/>
      <c r="H689" s="34"/>
    </row>
    <row r="690">
      <c r="E690" s="34"/>
      <c r="F690" s="34"/>
      <c r="G690" s="34"/>
      <c r="H690" s="34"/>
    </row>
    <row r="691">
      <c r="E691" s="34"/>
      <c r="F691" s="34"/>
      <c r="G691" s="34"/>
      <c r="H691" s="34"/>
    </row>
    <row r="692">
      <c r="E692" s="34"/>
      <c r="F692" s="34"/>
      <c r="G692" s="34"/>
      <c r="H692" s="34"/>
    </row>
    <row r="693">
      <c r="E693" s="34"/>
      <c r="F693" s="34"/>
      <c r="G693" s="34"/>
      <c r="H693" s="34"/>
    </row>
    <row r="694">
      <c r="E694" s="34"/>
      <c r="F694" s="34"/>
      <c r="G694" s="34"/>
      <c r="H694" s="34"/>
    </row>
    <row r="695">
      <c r="E695" s="34"/>
      <c r="F695" s="34"/>
      <c r="G695" s="34"/>
      <c r="H695" s="34"/>
    </row>
    <row r="696">
      <c r="E696" s="34"/>
      <c r="F696" s="34"/>
      <c r="G696" s="34"/>
      <c r="H696" s="34"/>
    </row>
    <row r="697">
      <c r="E697" s="34"/>
      <c r="F697" s="34"/>
      <c r="G697" s="34"/>
      <c r="H697" s="34"/>
    </row>
    <row r="698">
      <c r="E698" s="34"/>
      <c r="F698" s="34"/>
      <c r="G698" s="34"/>
      <c r="H698" s="34"/>
    </row>
    <row r="699">
      <c r="E699" s="34"/>
      <c r="F699" s="34"/>
      <c r="G699" s="34"/>
      <c r="H699" s="34"/>
    </row>
    <row r="700">
      <c r="E700" s="34"/>
      <c r="F700" s="34"/>
      <c r="G700" s="34"/>
      <c r="H700" s="34"/>
    </row>
    <row r="701">
      <c r="E701" s="34"/>
      <c r="F701" s="34"/>
      <c r="G701" s="34"/>
      <c r="H701" s="34"/>
    </row>
    <row r="702">
      <c r="E702" s="34"/>
      <c r="F702" s="34"/>
      <c r="G702" s="34"/>
      <c r="H702" s="34"/>
    </row>
    <row r="703">
      <c r="E703" s="34"/>
      <c r="F703" s="34"/>
      <c r="G703" s="34"/>
      <c r="H703" s="34"/>
    </row>
    <row r="704">
      <c r="E704" s="34"/>
      <c r="F704" s="34"/>
      <c r="G704" s="34"/>
      <c r="H704" s="34"/>
    </row>
    <row r="705">
      <c r="E705" s="34"/>
      <c r="F705" s="34"/>
      <c r="G705" s="34"/>
      <c r="H705" s="34"/>
    </row>
    <row r="706">
      <c r="E706" s="34"/>
      <c r="F706" s="34"/>
      <c r="G706" s="34"/>
      <c r="H706" s="34"/>
    </row>
    <row r="707">
      <c r="E707" s="34"/>
      <c r="F707" s="34"/>
      <c r="G707" s="34"/>
      <c r="H707" s="34"/>
    </row>
    <row r="708">
      <c r="E708" s="34"/>
      <c r="F708" s="34"/>
      <c r="G708" s="34"/>
      <c r="H708" s="34"/>
    </row>
    <row r="709">
      <c r="E709" s="34"/>
      <c r="F709" s="34"/>
      <c r="G709" s="34"/>
      <c r="H709" s="34"/>
    </row>
    <row r="710">
      <c r="E710" s="34"/>
      <c r="F710" s="34"/>
      <c r="G710" s="34"/>
      <c r="H710" s="34"/>
    </row>
    <row r="711">
      <c r="E711" s="34"/>
      <c r="F711" s="34"/>
      <c r="G711" s="34"/>
      <c r="H711" s="34"/>
    </row>
    <row r="712">
      <c r="E712" s="34"/>
      <c r="F712" s="34"/>
      <c r="G712" s="34"/>
      <c r="H712" s="34"/>
    </row>
    <row r="713">
      <c r="E713" s="34"/>
      <c r="F713" s="34"/>
      <c r="G713" s="34"/>
      <c r="H713" s="34"/>
    </row>
    <row r="714">
      <c r="E714" s="34"/>
      <c r="F714" s="34"/>
      <c r="G714" s="34"/>
      <c r="H714" s="34"/>
    </row>
    <row r="715">
      <c r="E715" s="34"/>
      <c r="F715" s="34"/>
      <c r="G715" s="34"/>
      <c r="H715" s="34"/>
    </row>
    <row r="716">
      <c r="E716" s="34"/>
      <c r="F716" s="34"/>
      <c r="G716" s="34"/>
      <c r="H716" s="34"/>
    </row>
    <row r="717">
      <c r="E717" s="34"/>
      <c r="F717" s="34"/>
      <c r="G717" s="34"/>
      <c r="H717" s="34"/>
    </row>
    <row r="718">
      <c r="E718" s="34"/>
      <c r="F718" s="34"/>
      <c r="G718" s="34"/>
      <c r="H718" s="34"/>
    </row>
    <row r="719">
      <c r="E719" s="34"/>
      <c r="F719" s="34"/>
      <c r="G719" s="34"/>
      <c r="H719" s="34"/>
    </row>
    <row r="720">
      <c r="E720" s="34"/>
      <c r="F720" s="34"/>
      <c r="G720" s="34"/>
      <c r="H720" s="34"/>
    </row>
    <row r="721">
      <c r="E721" s="34"/>
      <c r="F721" s="34"/>
      <c r="G721" s="34"/>
      <c r="H721" s="34"/>
    </row>
    <row r="722">
      <c r="E722" s="34"/>
      <c r="F722" s="34"/>
      <c r="G722" s="34"/>
      <c r="H722" s="34"/>
    </row>
    <row r="723">
      <c r="E723" s="34"/>
      <c r="F723" s="34"/>
      <c r="G723" s="34"/>
      <c r="H723" s="34"/>
    </row>
    <row r="724">
      <c r="E724" s="34"/>
      <c r="F724" s="34"/>
      <c r="G724" s="34"/>
      <c r="H724" s="34"/>
    </row>
    <row r="725">
      <c r="E725" s="34"/>
      <c r="F725" s="34"/>
      <c r="G725" s="34"/>
      <c r="H725" s="34"/>
    </row>
    <row r="726">
      <c r="E726" s="34"/>
      <c r="F726" s="34"/>
      <c r="G726" s="34"/>
      <c r="H726" s="34"/>
    </row>
    <row r="727">
      <c r="E727" s="34"/>
      <c r="F727" s="34"/>
      <c r="G727" s="34"/>
      <c r="H727" s="34"/>
    </row>
    <row r="728">
      <c r="E728" s="34"/>
      <c r="F728" s="34"/>
      <c r="G728" s="34"/>
      <c r="H728" s="34"/>
    </row>
    <row r="729">
      <c r="E729" s="34"/>
      <c r="F729" s="34"/>
      <c r="G729" s="34"/>
      <c r="H729" s="34"/>
    </row>
    <row r="730">
      <c r="E730" s="34"/>
      <c r="F730" s="34"/>
      <c r="G730" s="34"/>
      <c r="H730" s="34"/>
    </row>
    <row r="731">
      <c r="E731" s="34"/>
      <c r="F731" s="34"/>
      <c r="G731" s="34"/>
      <c r="H731" s="34"/>
    </row>
    <row r="732">
      <c r="E732" s="34"/>
      <c r="F732" s="34"/>
      <c r="G732" s="34"/>
      <c r="H732" s="34"/>
    </row>
    <row r="733">
      <c r="E733" s="34"/>
      <c r="F733" s="34"/>
      <c r="G733" s="34"/>
      <c r="H733" s="34"/>
    </row>
    <row r="734">
      <c r="E734" s="34"/>
      <c r="F734" s="34"/>
      <c r="G734" s="34"/>
      <c r="H734" s="34"/>
    </row>
    <row r="735">
      <c r="E735" s="34"/>
      <c r="F735" s="34"/>
      <c r="G735" s="34"/>
      <c r="H735" s="34"/>
    </row>
    <row r="736">
      <c r="E736" s="34"/>
      <c r="F736" s="34"/>
      <c r="G736" s="34"/>
      <c r="H736" s="34"/>
    </row>
    <row r="737">
      <c r="E737" s="34"/>
      <c r="F737" s="34"/>
      <c r="G737" s="34"/>
      <c r="H737" s="34"/>
    </row>
    <row r="738">
      <c r="E738" s="34"/>
      <c r="F738" s="34"/>
      <c r="G738" s="34"/>
      <c r="H738" s="34"/>
    </row>
    <row r="739">
      <c r="E739" s="34"/>
      <c r="F739" s="34"/>
      <c r="G739" s="34"/>
      <c r="H739" s="34"/>
    </row>
    <row r="740">
      <c r="E740" s="34"/>
      <c r="F740" s="34"/>
      <c r="G740" s="34"/>
      <c r="H740" s="34"/>
    </row>
    <row r="741">
      <c r="E741" s="34"/>
      <c r="F741" s="34"/>
      <c r="G741" s="34"/>
      <c r="H741" s="34"/>
    </row>
    <row r="742">
      <c r="E742" s="34"/>
      <c r="F742" s="34"/>
      <c r="G742" s="34"/>
      <c r="H742" s="34"/>
    </row>
    <row r="743">
      <c r="E743" s="34"/>
      <c r="F743" s="34"/>
      <c r="G743" s="34"/>
      <c r="H743" s="34"/>
    </row>
    <row r="744">
      <c r="E744" s="34"/>
      <c r="F744" s="34"/>
      <c r="G744" s="34"/>
      <c r="H744" s="34"/>
    </row>
    <row r="745">
      <c r="E745" s="34"/>
      <c r="F745" s="34"/>
      <c r="G745" s="34"/>
      <c r="H745" s="34"/>
    </row>
    <row r="746">
      <c r="E746" s="34"/>
      <c r="F746" s="34"/>
      <c r="G746" s="34"/>
      <c r="H746" s="34"/>
    </row>
    <row r="747">
      <c r="E747" s="34"/>
      <c r="F747" s="34"/>
      <c r="G747" s="34"/>
      <c r="H747" s="34"/>
    </row>
    <row r="748">
      <c r="E748" s="34"/>
      <c r="F748" s="34"/>
      <c r="G748" s="34"/>
      <c r="H748" s="34"/>
    </row>
    <row r="749">
      <c r="E749" s="34"/>
      <c r="F749" s="34"/>
      <c r="G749" s="34"/>
      <c r="H749" s="34"/>
    </row>
    <row r="750">
      <c r="E750" s="34"/>
      <c r="F750" s="34"/>
      <c r="G750" s="34"/>
      <c r="H750" s="34"/>
    </row>
    <row r="751">
      <c r="E751" s="34"/>
      <c r="F751" s="34"/>
      <c r="G751" s="34"/>
      <c r="H751" s="34"/>
    </row>
    <row r="752">
      <c r="E752" s="34"/>
      <c r="F752" s="34"/>
      <c r="G752" s="34"/>
      <c r="H752" s="34"/>
    </row>
    <row r="753">
      <c r="E753" s="34"/>
      <c r="F753" s="34"/>
      <c r="G753" s="34"/>
      <c r="H753" s="34"/>
    </row>
    <row r="754">
      <c r="E754" s="34"/>
      <c r="F754" s="34"/>
      <c r="G754" s="34"/>
      <c r="H754" s="34"/>
    </row>
    <row r="755">
      <c r="E755" s="34"/>
      <c r="F755" s="34"/>
      <c r="G755" s="34"/>
      <c r="H755" s="34"/>
    </row>
    <row r="756">
      <c r="E756" s="34"/>
      <c r="F756" s="34"/>
      <c r="G756" s="34"/>
      <c r="H756" s="34"/>
    </row>
    <row r="757">
      <c r="E757" s="34"/>
      <c r="F757" s="34"/>
      <c r="G757" s="34"/>
      <c r="H757" s="34"/>
    </row>
    <row r="758">
      <c r="E758" s="34"/>
      <c r="F758" s="34"/>
      <c r="G758" s="34"/>
      <c r="H758" s="34"/>
    </row>
    <row r="759">
      <c r="E759" s="34"/>
      <c r="F759" s="34"/>
      <c r="G759" s="34"/>
      <c r="H759" s="34"/>
    </row>
    <row r="760">
      <c r="E760" s="34"/>
      <c r="F760" s="34"/>
      <c r="G760" s="34"/>
      <c r="H760" s="34"/>
    </row>
    <row r="761">
      <c r="E761" s="34"/>
      <c r="F761" s="34"/>
      <c r="G761" s="34"/>
      <c r="H761" s="34"/>
    </row>
    <row r="762">
      <c r="E762" s="34"/>
      <c r="F762" s="34"/>
      <c r="G762" s="34"/>
      <c r="H762" s="34"/>
    </row>
    <row r="763">
      <c r="E763" s="34"/>
      <c r="F763" s="34"/>
      <c r="G763" s="34"/>
      <c r="H763" s="34"/>
    </row>
    <row r="764">
      <c r="E764" s="34"/>
      <c r="F764" s="34"/>
      <c r="G764" s="34"/>
      <c r="H764" s="34"/>
    </row>
    <row r="765">
      <c r="E765" s="34"/>
      <c r="F765" s="34"/>
      <c r="G765" s="34"/>
      <c r="H765" s="34"/>
    </row>
    <row r="766">
      <c r="E766" s="34"/>
      <c r="F766" s="34"/>
      <c r="G766" s="34"/>
      <c r="H766" s="34"/>
    </row>
    <row r="767">
      <c r="E767" s="34"/>
      <c r="F767" s="34"/>
      <c r="G767" s="34"/>
      <c r="H767" s="34"/>
    </row>
    <row r="768">
      <c r="E768" s="34"/>
      <c r="F768" s="34"/>
      <c r="G768" s="34"/>
      <c r="H768" s="34"/>
    </row>
    <row r="769">
      <c r="E769" s="34"/>
      <c r="F769" s="34"/>
      <c r="G769" s="34"/>
      <c r="H769" s="34"/>
    </row>
    <row r="770">
      <c r="E770" s="34"/>
      <c r="F770" s="34"/>
      <c r="G770" s="34"/>
      <c r="H770" s="34"/>
    </row>
    <row r="771">
      <c r="E771" s="34"/>
      <c r="F771" s="34"/>
      <c r="G771" s="34"/>
      <c r="H771" s="34"/>
    </row>
    <row r="772">
      <c r="E772" s="34"/>
      <c r="F772" s="34"/>
      <c r="G772" s="34"/>
      <c r="H772" s="34"/>
    </row>
    <row r="773">
      <c r="E773" s="34"/>
      <c r="F773" s="34"/>
      <c r="G773" s="34"/>
      <c r="H773" s="34"/>
    </row>
    <row r="774">
      <c r="E774" s="34"/>
      <c r="F774" s="34"/>
      <c r="G774" s="34"/>
      <c r="H774" s="34"/>
    </row>
    <row r="775">
      <c r="E775" s="34"/>
      <c r="F775" s="34"/>
      <c r="G775" s="34"/>
      <c r="H775" s="34"/>
    </row>
    <row r="776">
      <c r="E776" s="34"/>
      <c r="F776" s="34"/>
      <c r="G776" s="34"/>
      <c r="H776" s="34"/>
    </row>
    <row r="777">
      <c r="E777" s="34"/>
      <c r="F777" s="34"/>
      <c r="G777" s="34"/>
      <c r="H777" s="34"/>
    </row>
    <row r="778">
      <c r="E778" s="34"/>
      <c r="F778" s="34"/>
      <c r="G778" s="34"/>
      <c r="H778" s="34"/>
    </row>
    <row r="779">
      <c r="E779" s="34"/>
      <c r="F779" s="34"/>
      <c r="G779" s="34"/>
      <c r="H779" s="34"/>
    </row>
    <row r="780">
      <c r="E780" s="34"/>
      <c r="F780" s="34"/>
      <c r="G780" s="34"/>
      <c r="H780" s="34"/>
    </row>
    <row r="781">
      <c r="E781" s="34"/>
      <c r="F781" s="34"/>
      <c r="G781" s="34"/>
      <c r="H781" s="34"/>
    </row>
    <row r="782">
      <c r="E782" s="34"/>
      <c r="F782" s="34"/>
      <c r="G782" s="34"/>
      <c r="H782" s="34"/>
    </row>
    <row r="783">
      <c r="E783" s="34"/>
      <c r="F783" s="34"/>
      <c r="G783" s="34"/>
      <c r="H783" s="34"/>
    </row>
    <row r="784">
      <c r="E784" s="34"/>
      <c r="F784" s="34"/>
      <c r="G784" s="34"/>
      <c r="H784" s="34"/>
    </row>
    <row r="785">
      <c r="E785" s="34"/>
      <c r="F785" s="34"/>
      <c r="G785" s="34"/>
      <c r="H785" s="34"/>
    </row>
    <row r="786">
      <c r="E786" s="34"/>
      <c r="F786" s="34"/>
      <c r="G786" s="34"/>
      <c r="H786" s="34"/>
    </row>
    <row r="787">
      <c r="E787" s="34"/>
      <c r="F787" s="34"/>
      <c r="G787" s="34"/>
      <c r="H787" s="34"/>
    </row>
    <row r="788">
      <c r="E788" s="34"/>
      <c r="F788" s="34"/>
      <c r="G788" s="34"/>
      <c r="H788" s="34"/>
    </row>
    <row r="789">
      <c r="E789" s="34"/>
      <c r="F789" s="34"/>
      <c r="G789" s="34"/>
      <c r="H789" s="34"/>
    </row>
    <row r="790">
      <c r="E790" s="34"/>
      <c r="F790" s="34"/>
      <c r="G790" s="34"/>
      <c r="H790" s="34"/>
    </row>
    <row r="791">
      <c r="E791" s="34"/>
      <c r="F791" s="34"/>
      <c r="G791" s="34"/>
      <c r="H791" s="34"/>
    </row>
    <row r="792">
      <c r="E792" s="34"/>
      <c r="F792" s="34"/>
      <c r="G792" s="34"/>
      <c r="H792" s="34"/>
    </row>
    <row r="793">
      <c r="E793" s="34"/>
      <c r="F793" s="34"/>
      <c r="G793" s="34"/>
      <c r="H793" s="34"/>
    </row>
    <row r="794">
      <c r="E794" s="34"/>
      <c r="F794" s="34"/>
      <c r="G794" s="34"/>
      <c r="H794" s="34"/>
    </row>
    <row r="795">
      <c r="E795" s="34"/>
      <c r="F795" s="34"/>
      <c r="G795" s="34"/>
      <c r="H795" s="34"/>
    </row>
    <row r="796">
      <c r="E796" s="34"/>
      <c r="F796" s="34"/>
      <c r="G796" s="34"/>
      <c r="H796" s="34"/>
    </row>
    <row r="797">
      <c r="E797" s="34"/>
      <c r="F797" s="34"/>
      <c r="G797" s="34"/>
      <c r="H797" s="34"/>
    </row>
    <row r="798">
      <c r="E798" s="34"/>
      <c r="F798" s="34"/>
      <c r="G798" s="34"/>
      <c r="H798" s="34"/>
    </row>
    <row r="799">
      <c r="E799" s="34"/>
      <c r="F799" s="34"/>
      <c r="G799" s="34"/>
      <c r="H799" s="34"/>
    </row>
    <row r="800">
      <c r="E800" s="34"/>
      <c r="F800" s="34"/>
      <c r="G800" s="34"/>
      <c r="H800" s="34"/>
    </row>
    <row r="801">
      <c r="E801" s="34"/>
      <c r="F801" s="34"/>
      <c r="G801" s="34"/>
      <c r="H801" s="34"/>
    </row>
    <row r="802">
      <c r="E802" s="34"/>
      <c r="F802" s="34"/>
      <c r="G802" s="34"/>
      <c r="H802" s="34"/>
    </row>
    <row r="803">
      <c r="E803" s="34"/>
      <c r="F803" s="34"/>
      <c r="G803" s="34"/>
      <c r="H803" s="34"/>
    </row>
    <row r="804">
      <c r="E804" s="34"/>
      <c r="F804" s="34"/>
      <c r="G804" s="34"/>
      <c r="H804" s="34"/>
    </row>
    <row r="805">
      <c r="E805" s="34"/>
      <c r="F805" s="34"/>
      <c r="G805" s="34"/>
      <c r="H805" s="34"/>
    </row>
    <row r="806">
      <c r="E806" s="34"/>
      <c r="F806" s="34"/>
      <c r="G806" s="34"/>
      <c r="H806" s="34"/>
    </row>
    <row r="807">
      <c r="E807" s="34"/>
      <c r="F807" s="34"/>
      <c r="G807" s="34"/>
      <c r="H807" s="34"/>
    </row>
    <row r="808">
      <c r="E808" s="34"/>
      <c r="F808" s="34"/>
      <c r="G808" s="34"/>
      <c r="H808" s="34"/>
    </row>
    <row r="809">
      <c r="E809" s="34"/>
      <c r="F809" s="34"/>
      <c r="G809" s="34"/>
      <c r="H809" s="34"/>
    </row>
    <row r="810">
      <c r="E810" s="34"/>
      <c r="F810" s="34"/>
      <c r="G810" s="34"/>
      <c r="H810" s="34"/>
    </row>
    <row r="811">
      <c r="E811" s="34"/>
      <c r="F811" s="34"/>
      <c r="G811" s="34"/>
      <c r="H811" s="34"/>
    </row>
    <row r="812">
      <c r="E812" s="34"/>
      <c r="F812" s="34"/>
      <c r="G812" s="34"/>
      <c r="H812" s="34"/>
    </row>
    <row r="813">
      <c r="E813" s="34"/>
      <c r="F813" s="34"/>
      <c r="G813" s="34"/>
      <c r="H813" s="34"/>
    </row>
    <row r="814">
      <c r="E814" s="34"/>
      <c r="F814" s="34"/>
      <c r="G814" s="34"/>
      <c r="H814" s="34"/>
    </row>
    <row r="815">
      <c r="E815" s="34"/>
      <c r="F815" s="34"/>
      <c r="G815" s="34"/>
      <c r="H815" s="34"/>
    </row>
    <row r="816">
      <c r="E816" s="34"/>
      <c r="F816" s="34"/>
      <c r="G816" s="34"/>
      <c r="H816" s="34"/>
    </row>
    <row r="817">
      <c r="E817" s="34"/>
      <c r="F817" s="34"/>
      <c r="G817" s="34"/>
      <c r="H817" s="34"/>
    </row>
    <row r="818">
      <c r="E818" s="34"/>
      <c r="F818" s="34"/>
      <c r="G818" s="34"/>
      <c r="H818" s="34"/>
    </row>
    <row r="819">
      <c r="E819" s="34"/>
      <c r="F819" s="34"/>
      <c r="G819" s="34"/>
      <c r="H819" s="34"/>
    </row>
    <row r="820">
      <c r="E820" s="34"/>
      <c r="F820" s="34"/>
      <c r="G820" s="34"/>
      <c r="H820" s="34"/>
    </row>
    <row r="821">
      <c r="E821" s="34"/>
      <c r="F821" s="34"/>
      <c r="G821" s="34"/>
      <c r="H821" s="34"/>
    </row>
    <row r="822">
      <c r="E822" s="34"/>
      <c r="F822" s="34"/>
      <c r="G822" s="34"/>
      <c r="H822" s="34"/>
    </row>
    <row r="823">
      <c r="E823" s="34"/>
      <c r="F823" s="34"/>
      <c r="G823" s="34"/>
      <c r="H823" s="34"/>
    </row>
    <row r="824">
      <c r="E824" s="34"/>
      <c r="F824" s="34"/>
      <c r="G824" s="34"/>
      <c r="H824" s="34"/>
    </row>
    <row r="825">
      <c r="E825" s="34"/>
      <c r="F825" s="34"/>
      <c r="G825" s="34"/>
      <c r="H825" s="34"/>
    </row>
    <row r="826">
      <c r="E826" s="34"/>
      <c r="F826" s="34"/>
      <c r="G826" s="34"/>
      <c r="H826" s="34"/>
    </row>
    <row r="827">
      <c r="E827" s="34"/>
      <c r="F827" s="34"/>
      <c r="G827" s="34"/>
      <c r="H827" s="34"/>
    </row>
    <row r="828">
      <c r="E828" s="34"/>
      <c r="F828" s="34"/>
      <c r="G828" s="34"/>
      <c r="H828" s="34"/>
    </row>
    <row r="829">
      <c r="E829" s="34"/>
      <c r="F829" s="34"/>
      <c r="G829" s="34"/>
      <c r="H829" s="34"/>
    </row>
    <row r="830">
      <c r="E830" s="34"/>
      <c r="F830" s="34"/>
      <c r="G830" s="34"/>
      <c r="H830" s="34"/>
    </row>
    <row r="831">
      <c r="E831" s="34"/>
      <c r="F831" s="34"/>
      <c r="G831" s="34"/>
      <c r="H831" s="34"/>
    </row>
    <row r="832">
      <c r="E832" s="34"/>
      <c r="F832" s="34"/>
      <c r="G832" s="34"/>
      <c r="H832" s="34"/>
    </row>
    <row r="833">
      <c r="E833" s="34"/>
      <c r="F833" s="34"/>
      <c r="G833" s="34"/>
      <c r="H833" s="34"/>
    </row>
    <row r="834">
      <c r="E834" s="34"/>
      <c r="F834" s="34"/>
      <c r="G834" s="34"/>
      <c r="H834" s="34"/>
    </row>
    <row r="835">
      <c r="E835" s="34"/>
      <c r="F835" s="34"/>
      <c r="G835" s="34"/>
      <c r="H835" s="34"/>
    </row>
    <row r="836">
      <c r="E836" s="34"/>
      <c r="F836" s="34"/>
      <c r="G836" s="34"/>
      <c r="H836" s="34"/>
    </row>
    <row r="837">
      <c r="E837" s="34"/>
      <c r="F837" s="34"/>
      <c r="G837" s="34"/>
      <c r="H837" s="34"/>
    </row>
    <row r="838">
      <c r="E838" s="34"/>
      <c r="F838" s="34"/>
      <c r="G838" s="34"/>
      <c r="H838" s="34"/>
    </row>
    <row r="839">
      <c r="E839" s="34"/>
      <c r="F839" s="34"/>
      <c r="G839" s="34"/>
      <c r="H839" s="34"/>
    </row>
    <row r="840">
      <c r="E840" s="34"/>
      <c r="F840" s="34"/>
      <c r="G840" s="34"/>
      <c r="H840" s="34"/>
    </row>
    <row r="841">
      <c r="E841" s="34"/>
      <c r="F841" s="34"/>
      <c r="G841" s="34"/>
      <c r="H841" s="34"/>
    </row>
    <row r="842">
      <c r="E842" s="34"/>
      <c r="F842" s="34"/>
      <c r="G842" s="34"/>
      <c r="H842" s="34"/>
    </row>
    <row r="843">
      <c r="E843" s="34"/>
      <c r="F843" s="34"/>
      <c r="G843" s="34"/>
      <c r="H843" s="34"/>
    </row>
    <row r="844">
      <c r="E844" s="34"/>
      <c r="F844" s="34"/>
      <c r="G844" s="34"/>
      <c r="H844" s="34"/>
    </row>
    <row r="845">
      <c r="E845" s="34"/>
      <c r="F845" s="34"/>
      <c r="G845" s="34"/>
      <c r="H845" s="34"/>
    </row>
    <row r="846">
      <c r="E846" s="34"/>
      <c r="F846" s="34"/>
      <c r="G846" s="34"/>
      <c r="H846" s="34"/>
    </row>
    <row r="847">
      <c r="E847" s="34"/>
      <c r="F847" s="34"/>
      <c r="G847" s="34"/>
      <c r="H847" s="34"/>
    </row>
    <row r="848">
      <c r="E848" s="34"/>
      <c r="F848" s="34"/>
      <c r="G848" s="34"/>
      <c r="H848" s="34"/>
    </row>
    <row r="849">
      <c r="E849" s="34"/>
      <c r="F849" s="34"/>
      <c r="G849" s="34"/>
      <c r="H849" s="34"/>
    </row>
    <row r="850">
      <c r="E850" s="34"/>
      <c r="F850" s="34"/>
      <c r="G850" s="34"/>
      <c r="H850" s="34"/>
    </row>
    <row r="851">
      <c r="E851" s="34"/>
      <c r="F851" s="34"/>
      <c r="G851" s="34"/>
      <c r="H851" s="34"/>
    </row>
    <row r="852">
      <c r="E852" s="34"/>
      <c r="F852" s="34"/>
      <c r="G852" s="34"/>
      <c r="H852" s="34"/>
    </row>
    <row r="853">
      <c r="E853" s="34"/>
      <c r="F853" s="34"/>
      <c r="G853" s="34"/>
      <c r="H853" s="34"/>
    </row>
    <row r="854">
      <c r="E854" s="34"/>
      <c r="F854" s="34"/>
      <c r="G854" s="34"/>
      <c r="H854" s="34"/>
    </row>
    <row r="855">
      <c r="E855" s="34"/>
      <c r="F855" s="34"/>
      <c r="G855" s="34"/>
      <c r="H855" s="34"/>
    </row>
    <row r="856">
      <c r="E856" s="34"/>
      <c r="F856" s="34"/>
      <c r="G856" s="34"/>
      <c r="H856" s="34"/>
    </row>
    <row r="857">
      <c r="E857" s="34"/>
      <c r="F857" s="34"/>
      <c r="G857" s="34"/>
      <c r="H857" s="34"/>
    </row>
    <row r="858">
      <c r="E858" s="34"/>
      <c r="F858" s="34"/>
      <c r="G858" s="34"/>
      <c r="H858" s="34"/>
    </row>
    <row r="859">
      <c r="E859" s="34"/>
      <c r="F859" s="34"/>
      <c r="G859" s="34"/>
      <c r="H859" s="34"/>
    </row>
    <row r="860">
      <c r="E860" s="34"/>
      <c r="F860" s="34"/>
      <c r="G860" s="34"/>
      <c r="H860" s="34"/>
    </row>
    <row r="861">
      <c r="E861" s="34"/>
      <c r="F861" s="34"/>
      <c r="G861" s="34"/>
      <c r="H861" s="34"/>
    </row>
    <row r="862">
      <c r="E862" s="34"/>
      <c r="F862" s="34"/>
      <c r="G862" s="34"/>
      <c r="H862" s="34"/>
    </row>
    <row r="863">
      <c r="E863" s="34"/>
      <c r="F863" s="34"/>
      <c r="G863" s="34"/>
      <c r="H863" s="34"/>
    </row>
    <row r="864">
      <c r="E864" s="34"/>
      <c r="F864" s="34"/>
      <c r="G864" s="34"/>
      <c r="H864" s="34"/>
    </row>
    <row r="865">
      <c r="E865" s="34"/>
      <c r="F865" s="34"/>
      <c r="G865" s="34"/>
      <c r="H865" s="34"/>
    </row>
    <row r="866">
      <c r="E866" s="34"/>
      <c r="F866" s="34"/>
      <c r="G866" s="34"/>
      <c r="H866" s="34"/>
    </row>
    <row r="867">
      <c r="E867" s="34"/>
      <c r="F867" s="34"/>
      <c r="G867" s="34"/>
      <c r="H867" s="34"/>
    </row>
    <row r="868">
      <c r="E868" s="34"/>
      <c r="F868" s="34"/>
      <c r="G868" s="34"/>
      <c r="H868" s="34"/>
    </row>
    <row r="869">
      <c r="E869" s="34"/>
      <c r="F869" s="34"/>
      <c r="G869" s="34"/>
      <c r="H869" s="34"/>
    </row>
    <row r="870">
      <c r="E870" s="34"/>
      <c r="F870" s="34"/>
      <c r="G870" s="34"/>
      <c r="H870" s="34"/>
    </row>
    <row r="871">
      <c r="E871" s="34"/>
      <c r="F871" s="34"/>
      <c r="G871" s="34"/>
      <c r="H871" s="34"/>
    </row>
    <row r="872">
      <c r="E872" s="34"/>
      <c r="F872" s="34"/>
      <c r="G872" s="34"/>
      <c r="H872" s="34"/>
    </row>
    <row r="873">
      <c r="E873" s="34"/>
      <c r="F873" s="34"/>
      <c r="G873" s="34"/>
      <c r="H873" s="34"/>
    </row>
    <row r="874">
      <c r="E874" s="34"/>
      <c r="F874" s="34"/>
      <c r="G874" s="34"/>
      <c r="H874" s="34"/>
    </row>
    <row r="875">
      <c r="E875" s="34"/>
      <c r="F875" s="34"/>
      <c r="G875" s="34"/>
      <c r="H875" s="34"/>
    </row>
    <row r="876">
      <c r="E876" s="34"/>
      <c r="F876" s="34"/>
      <c r="G876" s="34"/>
      <c r="H876" s="34"/>
    </row>
    <row r="877">
      <c r="E877" s="34"/>
      <c r="F877" s="34"/>
      <c r="G877" s="34"/>
      <c r="H877" s="34"/>
    </row>
    <row r="878">
      <c r="E878" s="34"/>
      <c r="F878" s="34"/>
      <c r="G878" s="34"/>
      <c r="H878" s="34"/>
    </row>
    <row r="879">
      <c r="E879" s="34"/>
      <c r="F879" s="34"/>
      <c r="G879" s="34"/>
      <c r="H879" s="34"/>
    </row>
    <row r="880">
      <c r="E880" s="34"/>
      <c r="F880" s="34"/>
      <c r="G880" s="34"/>
      <c r="H880" s="34"/>
    </row>
    <row r="881">
      <c r="E881" s="34"/>
      <c r="F881" s="34"/>
      <c r="G881" s="34"/>
      <c r="H881" s="34"/>
    </row>
    <row r="882">
      <c r="E882" s="34"/>
      <c r="F882" s="34"/>
      <c r="G882" s="34"/>
      <c r="H882" s="34"/>
    </row>
    <row r="883">
      <c r="E883" s="34"/>
      <c r="F883" s="34"/>
      <c r="G883" s="34"/>
      <c r="H883" s="34"/>
    </row>
    <row r="884">
      <c r="E884" s="34"/>
      <c r="F884" s="34"/>
      <c r="G884" s="34"/>
      <c r="H884" s="34"/>
    </row>
    <row r="885">
      <c r="E885" s="34"/>
      <c r="F885" s="34"/>
      <c r="G885" s="34"/>
      <c r="H885" s="34"/>
    </row>
    <row r="886">
      <c r="E886" s="34"/>
      <c r="F886" s="34"/>
      <c r="G886" s="34"/>
      <c r="H886" s="34"/>
    </row>
    <row r="887">
      <c r="E887" s="34"/>
      <c r="F887" s="34"/>
      <c r="G887" s="34"/>
      <c r="H887" s="34"/>
    </row>
    <row r="888">
      <c r="E888" s="34"/>
      <c r="F888" s="34"/>
      <c r="G888" s="34"/>
      <c r="H888" s="34"/>
    </row>
    <row r="889">
      <c r="E889" s="34"/>
      <c r="F889" s="34"/>
      <c r="G889" s="34"/>
      <c r="H889" s="34"/>
    </row>
    <row r="890">
      <c r="E890" s="34"/>
      <c r="F890" s="34"/>
      <c r="G890" s="34"/>
      <c r="H890" s="34"/>
    </row>
    <row r="891">
      <c r="E891" s="34"/>
      <c r="F891" s="34"/>
      <c r="G891" s="34"/>
      <c r="H891" s="34"/>
    </row>
    <row r="892">
      <c r="E892" s="34"/>
      <c r="F892" s="34"/>
      <c r="G892" s="34"/>
      <c r="H892" s="34"/>
    </row>
    <row r="893">
      <c r="E893" s="34"/>
      <c r="F893" s="34"/>
      <c r="G893" s="34"/>
      <c r="H893" s="34"/>
    </row>
    <row r="894">
      <c r="E894" s="34"/>
      <c r="F894" s="34"/>
      <c r="G894" s="34"/>
      <c r="H894" s="34"/>
    </row>
    <row r="895">
      <c r="E895" s="34"/>
      <c r="F895" s="34"/>
      <c r="G895" s="34"/>
      <c r="H895" s="34"/>
    </row>
    <row r="896">
      <c r="E896" s="34"/>
      <c r="F896" s="34"/>
      <c r="G896" s="34"/>
      <c r="H896" s="34"/>
    </row>
    <row r="897">
      <c r="E897" s="34"/>
      <c r="F897" s="34"/>
      <c r="G897" s="34"/>
      <c r="H897" s="34"/>
    </row>
    <row r="898">
      <c r="E898" s="34"/>
      <c r="F898" s="34"/>
      <c r="G898" s="34"/>
      <c r="H898" s="34"/>
    </row>
    <row r="899">
      <c r="E899" s="34"/>
      <c r="F899" s="34"/>
      <c r="G899" s="34"/>
      <c r="H899" s="34"/>
    </row>
    <row r="900">
      <c r="E900" s="34"/>
      <c r="F900" s="34"/>
      <c r="G900" s="34"/>
      <c r="H900" s="34"/>
    </row>
    <row r="901">
      <c r="E901" s="34"/>
      <c r="F901" s="34"/>
      <c r="G901" s="34"/>
      <c r="H901" s="34"/>
    </row>
    <row r="902">
      <c r="E902" s="34"/>
      <c r="F902" s="34"/>
      <c r="G902" s="34"/>
      <c r="H902" s="34"/>
    </row>
    <row r="903">
      <c r="E903" s="34"/>
      <c r="F903" s="34"/>
      <c r="G903" s="34"/>
      <c r="H903" s="34"/>
    </row>
    <row r="904">
      <c r="E904" s="34"/>
      <c r="F904" s="34"/>
      <c r="G904" s="34"/>
      <c r="H904" s="34"/>
    </row>
    <row r="905">
      <c r="E905" s="34"/>
      <c r="F905" s="34"/>
      <c r="G905" s="34"/>
      <c r="H905" s="34"/>
    </row>
    <row r="906">
      <c r="E906" s="34"/>
      <c r="F906" s="34"/>
      <c r="G906" s="34"/>
      <c r="H906" s="34"/>
    </row>
    <row r="907">
      <c r="E907" s="34"/>
      <c r="F907" s="34"/>
      <c r="G907" s="34"/>
      <c r="H907" s="34"/>
    </row>
    <row r="908">
      <c r="E908" s="34"/>
      <c r="F908" s="34"/>
      <c r="G908" s="34"/>
      <c r="H908" s="34"/>
    </row>
    <row r="909">
      <c r="E909" s="34"/>
      <c r="F909" s="34"/>
      <c r="G909" s="34"/>
      <c r="H909" s="34"/>
    </row>
    <row r="910">
      <c r="E910" s="34"/>
      <c r="F910" s="34"/>
      <c r="G910" s="34"/>
      <c r="H910" s="34"/>
    </row>
    <row r="911">
      <c r="E911" s="34"/>
      <c r="F911" s="34"/>
      <c r="G911" s="34"/>
      <c r="H911" s="34"/>
    </row>
    <row r="912">
      <c r="E912" s="34"/>
      <c r="F912" s="34"/>
      <c r="G912" s="34"/>
      <c r="H912" s="34"/>
    </row>
    <row r="913">
      <c r="E913" s="34"/>
      <c r="F913" s="34"/>
      <c r="G913" s="34"/>
      <c r="H913" s="34"/>
    </row>
    <row r="914">
      <c r="E914" s="34"/>
      <c r="F914" s="34"/>
      <c r="G914" s="34"/>
      <c r="H914" s="34"/>
    </row>
    <row r="915">
      <c r="E915" s="34"/>
      <c r="F915" s="34"/>
      <c r="G915" s="34"/>
      <c r="H915" s="34"/>
    </row>
    <row r="916">
      <c r="E916" s="34"/>
      <c r="F916" s="34"/>
      <c r="G916" s="34"/>
      <c r="H916" s="34"/>
    </row>
    <row r="917">
      <c r="E917" s="34"/>
      <c r="F917" s="34"/>
      <c r="G917" s="34"/>
      <c r="H917" s="34"/>
    </row>
    <row r="918">
      <c r="E918" s="34"/>
      <c r="F918" s="34"/>
      <c r="G918" s="34"/>
      <c r="H918" s="34"/>
    </row>
    <row r="919">
      <c r="E919" s="34"/>
      <c r="F919" s="34"/>
      <c r="G919" s="34"/>
      <c r="H919" s="34"/>
    </row>
    <row r="920">
      <c r="E920" s="34"/>
      <c r="F920" s="34"/>
      <c r="G920" s="34"/>
      <c r="H920" s="34"/>
    </row>
    <row r="921">
      <c r="E921" s="34"/>
      <c r="F921" s="34"/>
      <c r="G921" s="34"/>
      <c r="H921" s="34"/>
    </row>
    <row r="922">
      <c r="E922" s="34"/>
      <c r="F922" s="34"/>
      <c r="G922" s="34"/>
      <c r="H922" s="34"/>
    </row>
    <row r="923">
      <c r="E923" s="34"/>
      <c r="F923" s="34"/>
      <c r="G923" s="34"/>
      <c r="H923" s="34"/>
    </row>
    <row r="924">
      <c r="E924" s="34"/>
      <c r="F924" s="34"/>
      <c r="G924" s="34"/>
      <c r="H924" s="34"/>
    </row>
    <row r="925">
      <c r="E925" s="34"/>
      <c r="F925" s="34"/>
      <c r="G925" s="34"/>
      <c r="H925" s="34"/>
    </row>
    <row r="926">
      <c r="E926" s="34"/>
      <c r="F926" s="34"/>
      <c r="G926" s="34"/>
      <c r="H926" s="34"/>
    </row>
    <row r="927">
      <c r="E927" s="34"/>
      <c r="F927" s="34"/>
      <c r="G927" s="34"/>
      <c r="H927" s="34"/>
    </row>
    <row r="928">
      <c r="E928" s="34"/>
      <c r="F928" s="34"/>
      <c r="G928" s="34"/>
      <c r="H928" s="34"/>
    </row>
    <row r="929">
      <c r="E929" s="34"/>
      <c r="F929" s="34"/>
      <c r="G929" s="34"/>
      <c r="H929" s="34"/>
    </row>
    <row r="930">
      <c r="E930" s="34"/>
      <c r="F930" s="34"/>
      <c r="G930" s="34"/>
      <c r="H930" s="34"/>
    </row>
    <row r="931">
      <c r="E931" s="34"/>
      <c r="F931" s="34"/>
      <c r="G931" s="34"/>
      <c r="H931" s="34"/>
    </row>
    <row r="932">
      <c r="E932" s="34"/>
      <c r="F932" s="34"/>
      <c r="G932" s="34"/>
      <c r="H932" s="34"/>
    </row>
    <row r="933">
      <c r="E933" s="34"/>
      <c r="F933" s="34"/>
      <c r="G933" s="34"/>
      <c r="H933" s="34"/>
    </row>
    <row r="934">
      <c r="E934" s="34"/>
      <c r="F934" s="34"/>
      <c r="G934" s="34"/>
      <c r="H934" s="34"/>
    </row>
    <row r="935">
      <c r="E935" s="34"/>
      <c r="F935" s="34"/>
      <c r="G935" s="34"/>
      <c r="H935" s="34"/>
    </row>
    <row r="936">
      <c r="E936" s="34"/>
      <c r="F936" s="34"/>
      <c r="G936" s="34"/>
      <c r="H936" s="34"/>
    </row>
    <row r="937">
      <c r="E937" s="34"/>
      <c r="F937" s="34"/>
      <c r="G937" s="34"/>
      <c r="H937" s="34"/>
    </row>
    <row r="938">
      <c r="E938" s="34"/>
      <c r="F938" s="34"/>
      <c r="G938" s="34"/>
      <c r="H938" s="34"/>
    </row>
    <row r="939">
      <c r="E939" s="34"/>
      <c r="F939" s="34"/>
      <c r="G939" s="34"/>
      <c r="H939" s="34"/>
    </row>
    <row r="940">
      <c r="E940" s="34"/>
      <c r="F940" s="34"/>
      <c r="G940" s="34"/>
      <c r="H940" s="34"/>
    </row>
    <row r="941">
      <c r="E941" s="34"/>
      <c r="F941" s="34"/>
      <c r="G941" s="34"/>
      <c r="H941" s="34"/>
    </row>
    <row r="942">
      <c r="E942" s="34"/>
      <c r="F942" s="34"/>
      <c r="G942" s="34"/>
      <c r="H942" s="34"/>
    </row>
    <row r="943">
      <c r="E943" s="34"/>
      <c r="F943" s="34"/>
      <c r="G943" s="34"/>
      <c r="H943" s="34"/>
    </row>
    <row r="944">
      <c r="A944" s="8" t="s">
        <v>50</v>
      </c>
      <c r="E944" s="34"/>
      <c r="F944" s="34"/>
      <c r="G944" s="34"/>
      <c r="H944" s="34"/>
    </row>
  </sheetData>
  <conditionalFormatting sqref="A5:A944">
    <cfRule type="expression" dxfId="0" priority="1">
      <formula>REGEXMATCH(A5,"(?i)[\(\[\{\-][ ]*(feat|ft)| feat(ur|\.| )| ft|f\/|w\/")</formula>
    </cfRule>
  </conditionalFormatting>
  <conditionalFormatting sqref="H4">
    <cfRule type="cellIs" dxfId="1" priority="2" operator="equal">
      <formula>0</formula>
    </cfRule>
  </conditionalFormatting>
  <conditionalFormatting sqref="H4">
    <cfRule type="cellIs" dxfId="2" priority="3" operator="notEqual">
      <formula>0</formula>
    </cfRule>
  </conditionalFormatting>
  <conditionalFormatting sqref="D5:D944">
    <cfRule type="expression" dxfId="0" priority="4">
      <formula>and(D5&lt;&gt;"",D5&lt;&gt;"new",not(REGEXMATCH(D5,"(?i)spotify:artist:[[:alnum:]]{22}")))</formula>
    </cfRule>
  </conditionalFormatting>
  <conditionalFormatting sqref="A5:A944">
    <cfRule type="expression" dxfId="3" priority="5">
      <formula>countif(G:G,A5)&gt;0</formula>
    </cfRule>
  </conditionalFormatting>
  <conditionalFormatting sqref="C5:C944">
    <cfRule type="expression" dxfId="0" priority="6">
      <formula>and(C5&lt;&gt;"",C5&lt;&gt;"new",not(REGEXMATCH(C5,"^[[:digit:]]+$")))</formula>
    </cfRule>
  </conditionalFormatting>
  <conditionalFormatting sqref="E5:E944">
    <cfRule type="expression" dxfId="0" priority="7">
      <formula>and(E5&lt;&gt;"",E5&lt;&gt;"new",not(REGEXMATCH(E5,"^[[:digit:]]+$")))</formula>
    </cfRule>
  </conditionalFormatting>
  <conditionalFormatting sqref="F5:F944">
    <cfRule type="expression" dxfId="0" priority="8">
      <formula>and(F5&lt;&gt;"",F5&lt;&gt;"new",not(REGEXMATCH(F5,"^[[:alnum:]-]+$")))</formula>
    </cfRule>
  </conditionalFormatting>
  <conditionalFormatting sqref="G2">
    <cfRule type="cellIs" dxfId="4" priority="9" operator="notEqual">
      <formula>G1</formula>
    </cfRule>
  </conditionalFormatting>
  <hyperlinks>
    <hyperlink r:id="rId2" ref="B5"/>
    <hyperlink r:id="rId3" ref="B6"/>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5"/>
    <col customWidth="1" min="2" max="2" width="20.88"/>
    <col customWidth="1" min="3" max="3" width="34.75"/>
    <col customWidth="1" min="4" max="4" width="10.5"/>
    <col customWidth="1" min="5" max="5" width="9.13"/>
    <col customWidth="1" min="6" max="6" width="21.75"/>
    <col customWidth="1" min="7" max="7" width="21.88"/>
    <col customWidth="1" min="8" max="8" width="8.38"/>
    <col customWidth="1" min="9" max="9" width="16.0"/>
    <col customWidth="1" min="10" max="10" width="12.13"/>
    <col customWidth="1" min="11" max="11" width="12.75"/>
    <col customWidth="1" min="12" max="12" width="9.75"/>
    <col customWidth="1" min="13" max="13" width="8.0"/>
    <col customWidth="1" min="14" max="14" width="9.5"/>
    <col customWidth="1" min="15" max="15" width="9.0"/>
    <col customWidth="1" min="16" max="16" width="12.5"/>
    <col customWidth="1" min="17" max="17" width="4.38"/>
    <col customWidth="1" min="18" max="18" width="8.38"/>
  </cols>
  <sheetData>
    <row r="1">
      <c r="A1" s="14" t="s">
        <v>51</v>
      </c>
      <c r="B1" s="13">
        <f>IFERROR(__xludf.DUMMYFUNCTION("COUNTUNIQUE(A5:A998)"),2.0)</f>
        <v>2</v>
      </c>
      <c r="F1" s="48"/>
      <c r="G1" s="48"/>
      <c r="H1" s="8"/>
      <c r="I1" s="8"/>
      <c r="J1" s="8"/>
      <c r="K1" s="8"/>
      <c r="L1" s="8"/>
      <c r="N1" s="8"/>
      <c r="O1" s="8"/>
      <c r="P1" s="8"/>
      <c r="Q1" s="8"/>
      <c r="R1" s="8"/>
    </row>
    <row r="2">
      <c r="A2" s="22" t="s">
        <v>27</v>
      </c>
      <c r="B2" s="16" t="s">
        <v>37</v>
      </c>
      <c r="F2" s="8"/>
      <c r="G2" s="8"/>
      <c r="H2" s="8"/>
      <c r="I2" s="8"/>
      <c r="J2" s="8"/>
      <c r="K2" s="8"/>
      <c r="L2" s="8"/>
      <c r="M2" s="8"/>
      <c r="N2" s="8"/>
      <c r="O2" s="8"/>
      <c r="P2" s="8"/>
      <c r="Q2" s="8"/>
      <c r="R2" s="8"/>
    </row>
    <row r="3">
      <c r="A3" s="49" t="s">
        <v>52</v>
      </c>
      <c r="B3" s="50">
        <f>IFERROR(__xludf.DUMMYFUNCTION("counta(A5:A998)-COUNTUNIQUE(A5:A998)"),0.0)</f>
        <v>0</v>
      </c>
    </row>
    <row r="4">
      <c r="A4" s="35" t="s">
        <v>38</v>
      </c>
      <c r="I4" s="21"/>
    </row>
    <row r="5">
      <c r="A5" s="51" t="s">
        <v>53</v>
      </c>
      <c r="C5" s="52" t="str">
        <f>"Insert into Labels VALUES(N'"&amp;SUBSTITUTE(trim(A5),"'","''")&amp;"', (select CreatedBy from Enterprises where EnterpriseId="&amp;EntId&amp;"), null, null, null, null, null, getdate(), null, null, "&amp;EntId&amp;", null, null, null, null, null, null, "&amp;TenantId&amp;")"</f>
        <v>Insert into Labels VALUES(N'TokyoRecords', (select CreatedBy from Enterprises where EnterpriseId=414849), null, null, null, null, null, getdate(), null, null, 414849, null, null, null, null, null, null, 332920)</v>
      </c>
    </row>
    <row r="6">
      <c r="A6" s="8" t="s">
        <v>54</v>
      </c>
      <c r="C6" s="52" t="str">
        <f>"Insert into Labels VALUES(N'"&amp;SUBSTITUTE(trim(A6),"'","''")&amp;"', (select CreatedBy from Enterprises where EnterpriseId="&amp;EntId&amp;"), null, null, null, null, null, getdate(), null, null, "&amp;EntId&amp;", null, null, null, null, null, null, "&amp;TenantId&amp;")"</f>
        <v>Insert into Labels VALUES(N'PEJOTA10*', (select CreatedBy from Enterprises where EnterpriseId=414849), null, null, null, null, null, getdate(), null, null, 414849, null, null, null, null, null, null, 332920)</v>
      </c>
    </row>
  </sheetData>
  <conditionalFormatting sqref="B3">
    <cfRule type="cellIs" dxfId="1" priority="1" operator="equal">
      <formula>0</formula>
    </cfRule>
  </conditionalFormatting>
  <conditionalFormatting sqref="B3">
    <cfRule type="cellIs" dxfId="2" priority="2" operator="notEqual">
      <formula>0</formula>
    </cfRule>
  </conditionalFormatting>
  <conditionalFormatting sqref="A5:A998">
    <cfRule type="expression" dxfId="3" priority="3">
      <formula>countif(B:B,A5)&gt;0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63"/>
    <col customWidth="1" min="2" max="2" width="37.25"/>
    <col customWidth="1" min="3" max="3" width="7.25"/>
    <col customWidth="1" min="4" max="4" width="16.38"/>
    <col customWidth="1" min="5" max="5" width="13.0"/>
    <col customWidth="1" min="6" max="6" width="27.75"/>
    <col customWidth="1" min="7" max="8" width="13.38"/>
    <col customWidth="1" min="9" max="9" width="15.0"/>
    <col customWidth="1" min="10" max="10" width="5.5"/>
    <col customWidth="1" min="11" max="11" width="17.0"/>
    <col customWidth="1" min="12" max="12" width="6.25"/>
    <col customWidth="1" min="13" max="13" width="16.5"/>
    <col customWidth="1" min="14" max="14" width="15.13"/>
    <col customWidth="1" min="15" max="16" width="16.0"/>
    <col customWidth="1" min="17" max="17" width="10.0"/>
    <col customWidth="1" min="18" max="18" width="9.5"/>
    <col customWidth="1" min="19" max="19" width="9.0"/>
    <col customWidth="1" min="20" max="20" width="69.38"/>
    <col customWidth="1" min="21" max="21" width="4.38"/>
    <col customWidth="1" min="22" max="22" width="11.25"/>
    <col customWidth="1" min="23" max="23" width="6.75"/>
    <col customWidth="1" min="27" max="27" width="11.0"/>
  </cols>
  <sheetData>
    <row r="1">
      <c r="A1" s="13">
        <f>IFERROR(__xludf.DUMMYFUNCTION("COUNTUNIQUE(A5:A624)"),2.0)</f>
        <v>2</v>
      </c>
      <c r="B1" s="22" t="s">
        <v>27</v>
      </c>
      <c r="C1" s="13">
        <f>IFERROR(__xludf.DUMMYFUNCTION("COUNTUNIQUE(B5:B624)"),2.0)</f>
        <v>2</v>
      </c>
      <c r="D1" s="13">
        <f>IFERROR(__xludf.DUMMYFUNCTION("COUNTUNIQUE(D5:D624)"),2.0)</f>
        <v>2</v>
      </c>
      <c r="E1" s="13">
        <f>IFERROR(__xludf.DUMMYFUNCTION("COUNTUNIQUE(E5:E624)"),0.0)</f>
        <v>0</v>
      </c>
      <c r="F1" s="53" t="s">
        <v>29</v>
      </c>
      <c r="G1" s="13">
        <f>COUNTA(F5:F624)</f>
        <v>2</v>
      </c>
      <c r="H1" s="54" t="s">
        <v>55</v>
      </c>
      <c r="I1" s="55">
        <f>countif(I5:I624,"Video")+countif(I5:I624,"Ringtone")</f>
        <v>0</v>
      </c>
      <c r="J1" s="56"/>
      <c r="L1" s="57"/>
      <c r="M1" s="22" t="s">
        <v>27</v>
      </c>
      <c r="N1" s="58" t="s">
        <v>55</v>
      </c>
      <c r="O1" s="59"/>
      <c r="P1" s="59"/>
      <c r="Q1" s="34"/>
      <c r="R1" s="34" t="str">
        <f>"SELECT count(distinct (ReleaseId)) FROM v_kr_catalog where EnterpriseId="&amp;EntId</f>
        <v>SELECT count(distinct (ReleaseId)) FROM v_kr_catalog where EnterpriseId=414849</v>
      </c>
      <c r="S1" s="34"/>
      <c r="T1" s="34"/>
    </row>
    <row r="2">
      <c r="A2" s="60" t="s">
        <v>56</v>
      </c>
      <c r="B2" s="61"/>
      <c r="C2" s="61"/>
      <c r="D2" s="61"/>
      <c r="E2" s="62"/>
      <c r="F2" s="61"/>
      <c r="G2" s="61"/>
      <c r="H2" s="61"/>
      <c r="I2" s="63"/>
      <c r="J2" s="61"/>
      <c r="K2" s="61"/>
      <c r="L2" s="61"/>
      <c r="M2" s="61"/>
      <c r="N2" s="64"/>
      <c r="O2" s="63"/>
      <c r="P2" s="63"/>
      <c r="Q2" s="34"/>
      <c r="R2" s="34" t="str">
        <f>"SELECT count(*) FROM Releases where CreatedBy=(select CreatedBy from Enterprises where EnterpriseId="&amp;EntId&amp;")"</f>
        <v>SELECT count(*) FROM Releases where CreatedBy=(select CreatedBy from Enterprises where EnterpriseId=414849)</v>
      </c>
      <c r="S2" s="34"/>
      <c r="T2" s="34"/>
    </row>
    <row r="3">
      <c r="A3" s="65" t="s">
        <v>57</v>
      </c>
      <c r="B3" s="66" t="s">
        <v>58</v>
      </c>
      <c r="C3" s="67" t="s">
        <v>59</v>
      </c>
      <c r="D3" s="68" t="s">
        <v>60</v>
      </c>
      <c r="E3" s="69" t="s">
        <v>61</v>
      </c>
      <c r="F3" s="70" t="s">
        <v>62</v>
      </c>
      <c r="G3" s="70" t="s">
        <v>63</v>
      </c>
      <c r="H3" s="71" t="s">
        <v>64</v>
      </c>
      <c r="I3" s="65" t="s">
        <v>65</v>
      </c>
      <c r="J3" s="72" t="s">
        <v>66</v>
      </c>
      <c r="K3" s="72"/>
      <c r="L3" s="72" t="s">
        <v>67</v>
      </c>
      <c r="M3" s="72"/>
      <c r="N3" s="73" t="s">
        <v>68</v>
      </c>
      <c r="O3" s="74" t="s">
        <v>69</v>
      </c>
      <c r="P3" s="75" t="s">
        <v>70</v>
      </c>
      <c r="Q3" s="34"/>
      <c r="R3" s="34"/>
      <c r="S3" s="76"/>
      <c r="T3" s="34"/>
    </row>
    <row r="4">
      <c r="A4" s="77" t="s">
        <v>71</v>
      </c>
      <c r="B4" s="78" t="s">
        <v>72</v>
      </c>
      <c r="C4" s="79" t="s">
        <v>73</v>
      </c>
      <c r="D4" s="78" t="s">
        <v>74</v>
      </c>
      <c r="E4" s="80" t="s">
        <v>75</v>
      </c>
      <c r="F4" s="81" t="s">
        <v>76</v>
      </c>
      <c r="G4" s="81" t="s">
        <v>77</v>
      </c>
      <c r="H4" s="82" t="s">
        <v>78</v>
      </c>
      <c r="I4" s="35" t="s">
        <v>79</v>
      </c>
      <c r="J4" s="35" t="s">
        <v>80</v>
      </c>
      <c r="K4" s="81" t="s">
        <v>81</v>
      </c>
      <c r="L4" s="35" t="s">
        <v>80</v>
      </c>
      <c r="M4" s="81" t="s">
        <v>81</v>
      </c>
      <c r="N4" s="36" t="s">
        <v>82</v>
      </c>
      <c r="O4" s="35" t="s">
        <v>79</v>
      </c>
      <c r="P4" s="36" t="s">
        <v>83</v>
      </c>
      <c r="Q4" s="83" t="s">
        <v>84</v>
      </c>
      <c r="R4" s="34"/>
      <c r="S4" s="34"/>
      <c r="T4" s="34" t="s">
        <v>85</v>
      </c>
    </row>
    <row r="5">
      <c r="A5" s="28" t="s">
        <v>53</v>
      </c>
      <c r="B5" s="44" t="s">
        <v>45</v>
      </c>
      <c r="C5" s="8" t="s">
        <v>86</v>
      </c>
      <c r="D5" s="84">
        <v>7.89294845633E11</v>
      </c>
      <c r="E5" s="85"/>
      <c r="F5" s="85" t="s">
        <v>87</v>
      </c>
      <c r="G5" s="8" t="s">
        <v>88</v>
      </c>
      <c r="H5" s="28" t="s">
        <v>89</v>
      </c>
      <c r="I5" s="8" t="s">
        <v>90</v>
      </c>
      <c r="J5" s="8">
        <v>2022.0</v>
      </c>
      <c r="K5" s="43" t="s">
        <v>53</v>
      </c>
      <c r="L5" s="8">
        <v>2022.0</v>
      </c>
      <c r="M5" s="43" t="s">
        <v>53</v>
      </c>
      <c r="N5" s="86">
        <v>44886.0</v>
      </c>
      <c r="O5" s="87" t="s">
        <v>91</v>
      </c>
      <c r="P5" s="88" t="s">
        <v>92</v>
      </c>
      <c r="Q5" s="46"/>
      <c r="R5" s="76" t="str">
        <f t="shared" ref="R5:R6" si="1">if(B5="","","insert into Images VALUES (NEWID(),'"&amp;if(D5="",trim(E5)&amp;"."&amp;C5,D5&amp;"."&amp;C5)&amp;"', '."&amp;C5&amp;"', getdate(), 0, null, '"&amp;SUBSTITUTE(trim(B5),"'","''")&amp;"', 0, getdate(), null, null)")</f>
        <v>insert into Images VALUES (NEWID(),'789294845633.jpg', '.jpg', getdate(), 0, null, 'https://www.dropbox.com/scl/fi/7safoetk4p2k4vwi29k4c/Receba-789294845633-UPC.jpg?rlkey=3vty6hb78ol10iv3y6h4md8h3&amp;st=m30ox0p4&amp;dl=1', 0, getdate(), null, null)</v>
      </c>
      <c r="S5" s="34" t="str">
        <f>"Insert into Releases VALUES((select ReleaseTypeId from ReleaseTypes where Title='"&amp;I5&amp;"'), N'"&amp;SUBSTITUTE(trim(F5),"'","''")&amp;"', null, (select LabelId from Labels where Name=N'"&amp;SUBSTITUTE(trim(A5),"'","''")&amp;"' and EnterpriseId="&amp;EntId&amp;"), "&amp;IF(D5="","null",D5)&amp;", null, null, "&amp;IF(H5="","null","N'"&amp;SUBSTITUTE(trim(H5),"'","''")&amp;"'")&amp;", N'"&amp;J5&amp;" "&amp;SUBSTITUTE(trim(K5),"'","''")&amp;"', N'"&amp;L5&amp;" "&amp;SUBSTITUTE(trim(M5),"'","''")&amp;"', "&amp;IF(N5="","null","'"&amp;TEXT(N5,"yyyy-mm-dd")&amp;"'")&amp;",  "&amp;IF(E5="","null","'"&amp;SUBSTITUTE(trim(E5),"'","''")&amp;"'")&amp;", "&amp;if(B5="","null",if(D5="","(select ImageId from Images where Filename='"&amp;E5&amp;"."&amp;C5&amp;"' and ExternalUrl='"&amp;SUBSTITUTE(trim(B5),"'","''")&amp;"')","(select ImageId from Images where Filename='"&amp;D5&amp;"."&amp;C5&amp;"' and ExternalUrl='"&amp;SUBSTITUTE(trim(B5),"'","''")&amp;"')"))&amp;", null, null, null, (select min(LanguageId) from Languages where LanguageName='"&amp;G5&amp;"' and IsValidMetadataLanguage=1), getdate(), (select CreatedBy from Enterprises where EnterpriseId="&amp;EntId&amp;"), null, '34F4C88E-B410-461E-AD75-6C01536FDCD3', null, null, null, null, null, null, null, null, null, 1, null, null, null, "&amp;VLOOKUP(O5,'Reference info'!H:I,2,FALSE)&amp;", "&amp;IF(P5="","null",VLOOKUP(P5,'Reference info'!H:I,2,FALSE))&amp;", 0, null, null, null,"&amp;IF(N5="",0,1)&amp;", 1, null, null, null, null, null, null, null, null, null, 1, null, (NEXT VALUE FOR [AssetIdSequence]), null, null, null, "&amp;TenantId&amp;", "&amp;EntId&amp;", null, "&amp;if(D5&lt;&gt;"",countif('5) Release_Track'!A:A,D5),countif('5) Release_Track'!B:B,E5))&amp;")"</f>
        <v>Insert into Releases VALUES((select ReleaseTypeId from ReleaseTypes where Title='Single'), N'Receba', null, (select LabelId from Labels where Name=N'TokyoRecords' and EnterpriseId=414849), 789294845633, null, null, N'Extended', N'2022 TokyoRecords', N'2022 TokyoRecords', '2022-11-21',  null, (select ImageId from Images where Filename='789294845633.jpg' and ExternalUrl='https://www.dropbox.com/scl/fi/7safoetk4p2k4vwi29k4c/Receba-789294845633-UPC.jpg?rlkey=3vty6hb78ol10iv3y6h4md8h3&amp;st=m30ox0p4&amp;dl=1'), null, null, null, (select min(LanguageId) from Languages where LanguageName='Portuguese' and IsValidMetadataLanguage=1), getdate(), (select CreatedBy from Enterprises where EnterpriseId=414849), null, '34F4C88E-B410-461E-AD75-6C01536FDCD3', null, null, null, null, null, null, null, null, null, 1, null, null, null, 41, 555, 0, null, null, null,1, 1, null, null, null, null, null, null, null, null, null, 1, null, (NEXT VALUE FOR [AssetIdSequence]), null, null, null, 332920, 414849, null, 1)</v>
      </c>
      <c r="T5" s="34" t="str">
        <f>"update Releases set RevelatorExternalUsageReleaseId=AssetId where ReleaseId=(select max(ReleaseId) from Releases where "&amp;IF(D5="","Catalog='"&amp;E5&amp;"'","UPC="&amp;D5)&amp;" and EnterpriseId="&amp;EntId&amp;")"</f>
        <v>update Releases set RevelatorExternalUsageReleaseId=AssetId where ReleaseId=(select max(ReleaseId) from Releases where UPC=789294845633 and EnterpriseId=414849)</v>
      </c>
      <c r="U5" s="28"/>
      <c r="V5" s="28">
        <f>VLOOKUP(D5,'4) Release_Artist(s)'!A:A,1,0)</f>
        <v>789294845633</v>
      </c>
      <c r="W5" s="84"/>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row>
    <row r="6">
      <c r="A6" s="28" t="s">
        <v>54</v>
      </c>
      <c r="B6" s="44" t="s">
        <v>48</v>
      </c>
      <c r="C6" s="8" t="s">
        <v>86</v>
      </c>
      <c r="D6" s="84">
        <v>7.89294962088E11</v>
      </c>
      <c r="E6" s="85"/>
      <c r="F6" s="85" t="s">
        <v>93</v>
      </c>
      <c r="G6" s="8" t="s">
        <v>88</v>
      </c>
      <c r="H6" s="28"/>
      <c r="I6" s="8" t="s">
        <v>90</v>
      </c>
      <c r="J6" s="8">
        <v>2022.0</v>
      </c>
      <c r="K6" s="43" t="s">
        <v>53</v>
      </c>
      <c r="L6" s="8">
        <v>2022.0</v>
      </c>
      <c r="M6" s="43" t="s">
        <v>53</v>
      </c>
      <c r="N6" s="86">
        <v>44889.0</v>
      </c>
      <c r="O6" s="87" t="s">
        <v>91</v>
      </c>
      <c r="P6" s="88" t="s">
        <v>92</v>
      </c>
      <c r="Q6" s="28"/>
      <c r="R6" s="76" t="str">
        <f t="shared" si="1"/>
        <v>insert into Images VALUES (NEWID(),'789294962088.jpg', '.jpg', getdate(), 0, null, 'https://www.dropbox.com/scl/fi/wky0ryb739s0xs3wo5qop/A-Cl-usula-do-Contrato-789294962088-UPC.jpg?rlkey=91bp85llgb8ho5lnfcs56105s&amp;st=dn12pxrd&amp;dl=1', 0, getdate(), null, null)</v>
      </c>
      <c r="S6" s="34" t="str">
        <f>"Insert into Releases VALUES((select ReleaseTypeId from ReleaseTypes where Title='"&amp;I6&amp;"'), N'"&amp;SUBSTITUTE(trim(F6),"'","''")&amp;"', null, (select LabelId from Labels where Name=N'"&amp;SUBSTITUTE(trim(A6),"'","''")&amp;"' and EnterpriseId="&amp;EntId&amp;"), "&amp;IF(D6="","null",D6)&amp;", null, null, "&amp;IF(H6="","null","N'"&amp;SUBSTITUTE(trim(H6),"'","''")&amp;"'")&amp;", N'"&amp;J6&amp;" "&amp;SUBSTITUTE(trim(K6),"'","''")&amp;"', N'"&amp;L6&amp;" "&amp;SUBSTITUTE(trim(M6),"'","''")&amp;"', "&amp;IF(N6="","null","'"&amp;TEXT(N6,"yyyy-mm-dd")&amp;"'")&amp;",  "&amp;IF(E6="","null","'"&amp;SUBSTITUTE(trim(E6),"'","''")&amp;"'")&amp;", "&amp;if(B6="","null",if(D6="","(select ImageId from Images where Filename='"&amp;E6&amp;"."&amp;C6&amp;"' and ExternalUrl='"&amp;SUBSTITUTE(trim(B6),"'","''")&amp;"')","(select ImageId from Images where Filename='"&amp;D6&amp;"."&amp;C6&amp;"' and ExternalUrl='"&amp;SUBSTITUTE(trim(B6),"'","''")&amp;"')"))&amp;", null, null, null, (select min(LanguageId) from Languages where LanguageName='"&amp;G6&amp;"' and IsValidMetadataLanguage=1), getdate(), (select CreatedBy from Enterprises where EnterpriseId="&amp;EntId&amp;"), null, '34F4C88E-B410-461E-AD75-6C01536FDCD3', null, null, null, null, null, null, null, null, null, 1, null, null, null, "&amp;VLOOKUP(O6,'Reference info'!H:I,2,FALSE)&amp;", "&amp;IF(P6="","null",VLOOKUP(P6,'Reference info'!H:I,2,FALSE))&amp;", 0, null, null, null,"&amp;IF(N6="",0,1)&amp;", 1, null, null, null, null, null, null, null, null, null, 1, null, (NEXT VALUE FOR [AssetIdSequence]), null, null, null, "&amp;TenantId&amp;", "&amp;EntId&amp;", null, "&amp;if(D6&lt;&gt;"",countif('5) Release_Track'!A:A,D6),countif('5) Release_Track'!B:B,E6))&amp;")"</f>
        <v>Insert into Releases VALUES((select ReleaseTypeId from ReleaseTypes where Title='Single'), N'A Cláusula do Contrato', null, (select LabelId from Labels where Name=N'PEJOTA10*' and EnterpriseId=414849), 789294962088, null, null, null, N'2022 TokyoRecords', N'2022 TokyoRecords', '2022-11-24',  null, (select ImageId from Images where Filename='789294962088.jpg' and ExternalUrl='https://www.dropbox.com/scl/fi/wky0ryb739s0xs3wo5qop/A-Cl-usula-do-Contrato-789294962088-UPC.jpg?rlkey=91bp85llgb8ho5lnfcs56105s&amp;st=dn12pxrd&amp;dl=1'), null, null, null, (select min(LanguageId) from Languages where LanguageName='Portuguese' and IsValidMetadataLanguage=1), getdate(), (select CreatedBy from Enterprises where EnterpriseId=414849), null, '34F4C88E-B410-461E-AD75-6C01536FDCD3', null, null, null, null, null, null, null, null, null, 1, null, null, null, 41, 555, 0, null, null, null,1, 1, null, null, null, null, null, null, null, null, null, 1, null, (NEXT VALUE FOR [AssetIdSequence]), null, null, null, 332920, 414849, null, 1)</v>
      </c>
      <c r="T6" s="34" t="str">
        <f>"update Releases set RevelatorExternalUsageReleaseId=AssetId where ReleaseId=(select max(ReleaseId) from Releases where "&amp;IF(D6="","Catalog='"&amp;E6&amp;"'","UPC="&amp;D6)&amp;" and EnterpriseId="&amp;EntId&amp;")"</f>
        <v>update Releases set RevelatorExternalUsageReleaseId=AssetId where ReleaseId=(select max(ReleaseId) from Releases where UPC=789294962088 and EnterpriseId=414849)</v>
      </c>
      <c r="U6" s="28"/>
      <c r="V6" s="28">
        <f>VLOOKUP(D6,'4) Release_Artist(s)'!A:A,1,0)</f>
        <v>789294962088</v>
      </c>
      <c r="W6" s="84"/>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row>
    <row r="7">
      <c r="A7" s="20"/>
      <c r="C7" s="20"/>
      <c r="D7" s="89"/>
      <c r="E7" s="90"/>
      <c r="F7" s="90"/>
      <c r="G7" s="8"/>
      <c r="I7" s="59"/>
      <c r="J7" s="20"/>
      <c r="L7" s="20"/>
      <c r="N7" s="91"/>
      <c r="O7" s="59"/>
      <c r="P7" s="59"/>
    </row>
    <row r="8">
      <c r="A8" s="20"/>
      <c r="C8" s="20"/>
      <c r="D8" s="89"/>
      <c r="E8" s="90"/>
      <c r="F8" s="90"/>
      <c r="G8" s="8"/>
      <c r="I8" s="59"/>
      <c r="J8" s="20"/>
      <c r="L8" s="20"/>
      <c r="N8" s="91"/>
      <c r="O8" s="59"/>
      <c r="P8" s="59"/>
    </row>
    <row r="9">
      <c r="A9" s="20"/>
      <c r="C9" s="20"/>
      <c r="D9" s="89"/>
      <c r="E9" s="90"/>
      <c r="F9" s="90"/>
      <c r="G9" s="8"/>
      <c r="I9" s="59"/>
      <c r="J9" s="20"/>
      <c r="L9" s="20"/>
      <c r="N9" s="91"/>
      <c r="O9" s="59"/>
      <c r="P9" s="59"/>
    </row>
    <row r="10">
      <c r="A10" s="20"/>
      <c r="C10" s="20"/>
      <c r="D10" s="89"/>
      <c r="E10" s="90"/>
      <c r="F10" s="90"/>
      <c r="G10" s="8"/>
      <c r="I10" s="59"/>
      <c r="J10" s="20"/>
      <c r="L10" s="20"/>
      <c r="N10" s="91"/>
      <c r="O10" s="59"/>
      <c r="P10" s="59"/>
    </row>
    <row r="11">
      <c r="A11" s="20"/>
      <c r="C11" s="20"/>
      <c r="D11" s="89"/>
      <c r="E11" s="90"/>
      <c r="F11" s="90"/>
      <c r="G11" s="8"/>
      <c r="I11" s="59"/>
      <c r="J11" s="20"/>
      <c r="L11" s="20"/>
      <c r="N11" s="91"/>
      <c r="O11" s="59"/>
      <c r="P11" s="59"/>
    </row>
    <row r="12">
      <c r="A12" s="20"/>
      <c r="C12" s="20"/>
      <c r="D12" s="89"/>
      <c r="E12" s="90"/>
      <c r="F12" s="90"/>
      <c r="G12" s="8"/>
      <c r="I12" s="59"/>
      <c r="J12" s="20"/>
      <c r="L12" s="20"/>
      <c r="N12" s="91"/>
      <c r="O12" s="59"/>
      <c r="P12" s="59"/>
    </row>
    <row r="13">
      <c r="A13" s="20"/>
      <c r="C13" s="20"/>
      <c r="D13" s="89"/>
      <c r="E13" s="90"/>
      <c r="F13" s="90"/>
      <c r="G13" s="8"/>
      <c r="I13" s="59"/>
      <c r="J13" s="20"/>
      <c r="L13" s="20"/>
      <c r="N13" s="91"/>
      <c r="O13" s="59"/>
      <c r="P13" s="59"/>
    </row>
    <row r="14">
      <c r="A14" s="20"/>
      <c r="C14" s="20"/>
      <c r="D14" s="89"/>
      <c r="E14" s="90"/>
      <c r="F14" s="90"/>
      <c r="G14" s="8"/>
      <c r="I14" s="59"/>
      <c r="J14" s="20"/>
      <c r="L14" s="20"/>
      <c r="N14" s="91"/>
      <c r="O14" s="59"/>
      <c r="P14" s="59"/>
    </row>
    <row r="15">
      <c r="A15" s="20"/>
      <c r="C15" s="20"/>
      <c r="D15" s="89"/>
      <c r="E15" s="90"/>
      <c r="F15" s="90"/>
      <c r="G15" s="8"/>
      <c r="I15" s="59"/>
      <c r="J15" s="20"/>
      <c r="L15" s="20"/>
      <c r="N15" s="91"/>
      <c r="O15" s="59"/>
      <c r="P15" s="59"/>
    </row>
    <row r="16">
      <c r="A16" s="20"/>
      <c r="C16" s="20"/>
      <c r="D16" s="89"/>
      <c r="E16" s="90"/>
      <c r="F16" s="90"/>
      <c r="G16" s="8"/>
      <c r="I16" s="59"/>
      <c r="J16" s="20"/>
      <c r="L16" s="20"/>
      <c r="N16" s="91"/>
      <c r="O16" s="59"/>
      <c r="P16" s="59"/>
    </row>
    <row r="17">
      <c r="A17" s="20"/>
      <c r="C17" s="20"/>
      <c r="D17" s="89"/>
      <c r="E17" s="90"/>
      <c r="F17" s="90"/>
      <c r="G17" s="8"/>
      <c r="I17" s="59"/>
      <c r="J17" s="20"/>
      <c r="L17" s="20"/>
      <c r="N17" s="91"/>
      <c r="O17" s="59"/>
      <c r="P17" s="59"/>
    </row>
    <row r="18">
      <c r="A18" s="20"/>
      <c r="C18" s="20"/>
      <c r="D18" s="89"/>
      <c r="E18" s="90"/>
      <c r="F18" s="90"/>
      <c r="G18" s="8"/>
      <c r="I18" s="59"/>
      <c r="J18" s="20"/>
      <c r="L18" s="20"/>
      <c r="N18" s="91"/>
      <c r="O18" s="59"/>
      <c r="P18" s="59"/>
    </row>
    <row r="19">
      <c r="A19" s="20"/>
      <c r="C19" s="20"/>
      <c r="D19" s="89"/>
      <c r="E19" s="90"/>
      <c r="F19" s="90"/>
      <c r="G19" s="8"/>
      <c r="I19" s="59"/>
      <c r="J19" s="20"/>
      <c r="L19" s="20"/>
      <c r="N19" s="91"/>
      <c r="O19" s="59"/>
      <c r="P19" s="59"/>
    </row>
    <row r="20">
      <c r="A20" s="20"/>
      <c r="C20" s="20"/>
      <c r="D20" s="89"/>
      <c r="E20" s="90"/>
      <c r="F20" s="90"/>
      <c r="G20" s="8"/>
      <c r="I20" s="59"/>
      <c r="J20" s="20"/>
      <c r="L20" s="20"/>
      <c r="N20" s="91"/>
      <c r="O20" s="59"/>
      <c r="P20" s="59"/>
    </row>
    <row r="21">
      <c r="A21" s="20"/>
      <c r="C21" s="20"/>
      <c r="D21" s="89"/>
      <c r="E21" s="90"/>
      <c r="F21" s="90"/>
      <c r="G21" s="8"/>
      <c r="I21" s="59"/>
      <c r="J21" s="20"/>
      <c r="L21" s="20"/>
      <c r="N21" s="91"/>
      <c r="O21" s="59"/>
      <c r="P21" s="59"/>
    </row>
    <row r="22">
      <c r="A22" s="20"/>
      <c r="C22" s="20"/>
      <c r="D22" s="89"/>
      <c r="E22" s="90"/>
      <c r="F22" s="90"/>
      <c r="G22" s="8"/>
      <c r="I22" s="59"/>
      <c r="J22" s="20"/>
      <c r="L22" s="20"/>
      <c r="N22" s="91"/>
      <c r="O22" s="59"/>
      <c r="P22" s="59"/>
    </row>
    <row r="23">
      <c r="A23" s="20"/>
      <c r="C23" s="20"/>
      <c r="D23" s="89"/>
      <c r="E23" s="90"/>
      <c r="F23" s="90"/>
      <c r="G23" s="8"/>
      <c r="I23" s="59"/>
      <c r="J23" s="20"/>
      <c r="L23" s="20"/>
      <c r="N23" s="91"/>
      <c r="O23" s="59"/>
      <c r="P23" s="59"/>
    </row>
    <row r="24">
      <c r="A24" s="20"/>
      <c r="C24" s="20"/>
      <c r="D24" s="89"/>
      <c r="E24" s="90"/>
      <c r="F24" s="90"/>
      <c r="G24" s="8"/>
      <c r="I24" s="59"/>
      <c r="J24" s="20"/>
      <c r="L24" s="20"/>
      <c r="N24" s="91"/>
      <c r="O24" s="59"/>
      <c r="P24" s="59"/>
    </row>
    <row r="25">
      <c r="A25" s="20"/>
      <c r="C25" s="20"/>
      <c r="D25" s="89"/>
      <c r="E25" s="90"/>
      <c r="F25" s="90"/>
      <c r="G25" s="8"/>
      <c r="I25" s="59"/>
      <c r="J25" s="20"/>
      <c r="L25" s="20"/>
      <c r="N25" s="91"/>
      <c r="O25" s="59"/>
      <c r="P25" s="59"/>
    </row>
    <row r="26">
      <c r="A26" s="20"/>
      <c r="C26" s="20"/>
      <c r="D26" s="89"/>
      <c r="E26" s="90"/>
      <c r="F26" s="90"/>
      <c r="G26" s="8"/>
      <c r="I26" s="59"/>
      <c r="J26" s="20"/>
      <c r="L26" s="20"/>
      <c r="N26" s="91"/>
      <c r="O26" s="59"/>
      <c r="P26" s="59"/>
    </row>
    <row r="27">
      <c r="A27" s="20"/>
      <c r="C27" s="20"/>
      <c r="D27" s="89"/>
      <c r="E27" s="90"/>
      <c r="F27" s="90"/>
      <c r="G27" s="8"/>
      <c r="I27" s="59"/>
      <c r="J27" s="20"/>
      <c r="L27" s="20"/>
      <c r="N27" s="91"/>
      <c r="O27" s="59"/>
      <c r="P27" s="59"/>
    </row>
    <row r="28">
      <c r="A28" s="20"/>
      <c r="C28" s="20"/>
      <c r="D28" s="89"/>
      <c r="E28" s="90"/>
      <c r="F28" s="90"/>
      <c r="G28" s="8"/>
      <c r="I28" s="59"/>
      <c r="J28" s="20"/>
      <c r="L28" s="20"/>
      <c r="N28" s="91"/>
      <c r="O28" s="59"/>
      <c r="P28" s="59"/>
    </row>
    <row r="29">
      <c r="A29" s="20"/>
      <c r="C29" s="20"/>
      <c r="D29" s="89"/>
      <c r="E29" s="90"/>
      <c r="F29" s="90"/>
      <c r="G29" s="8"/>
      <c r="I29" s="59"/>
      <c r="J29" s="20"/>
      <c r="L29" s="20"/>
      <c r="N29" s="91"/>
      <c r="O29" s="59"/>
      <c r="P29" s="59"/>
    </row>
    <row r="30">
      <c r="A30" s="20"/>
      <c r="C30" s="20"/>
      <c r="D30" s="89"/>
      <c r="E30" s="90"/>
      <c r="F30" s="90"/>
      <c r="G30" s="8"/>
      <c r="I30" s="59"/>
      <c r="J30" s="20"/>
      <c r="L30" s="20"/>
      <c r="N30" s="91"/>
      <c r="O30" s="59"/>
      <c r="P30" s="59"/>
    </row>
    <row r="31">
      <c r="A31" s="20"/>
      <c r="C31" s="20"/>
      <c r="D31" s="89"/>
      <c r="E31" s="90"/>
      <c r="F31" s="90"/>
      <c r="G31" s="8"/>
      <c r="I31" s="59"/>
      <c r="J31" s="20"/>
      <c r="L31" s="20"/>
      <c r="N31" s="91"/>
      <c r="O31" s="59"/>
      <c r="P31" s="59"/>
    </row>
    <row r="32">
      <c r="A32" s="20"/>
      <c r="C32" s="20"/>
      <c r="D32" s="89"/>
      <c r="E32" s="90"/>
      <c r="F32" s="90"/>
      <c r="G32" s="8"/>
      <c r="I32" s="59"/>
      <c r="J32" s="20"/>
      <c r="L32" s="20"/>
      <c r="N32" s="91"/>
      <c r="O32" s="59"/>
      <c r="P32" s="59"/>
    </row>
    <row r="33">
      <c r="A33" s="20"/>
      <c r="C33" s="20"/>
      <c r="D33" s="89"/>
      <c r="E33" s="90"/>
      <c r="F33" s="90"/>
      <c r="G33" s="8"/>
      <c r="I33" s="59"/>
      <c r="J33" s="20"/>
      <c r="L33" s="20"/>
      <c r="N33" s="91"/>
      <c r="O33" s="59"/>
      <c r="P33" s="59"/>
    </row>
    <row r="34">
      <c r="A34" s="20"/>
      <c r="C34" s="20"/>
      <c r="D34" s="89"/>
      <c r="E34" s="90"/>
      <c r="F34" s="90"/>
      <c r="G34" s="8"/>
      <c r="I34" s="59"/>
      <c r="J34" s="20"/>
      <c r="L34" s="20"/>
      <c r="N34" s="91"/>
      <c r="O34" s="59"/>
      <c r="P34" s="59"/>
    </row>
    <row r="35">
      <c r="A35" s="20"/>
      <c r="C35" s="20"/>
      <c r="D35" s="89"/>
      <c r="E35" s="90"/>
      <c r="F35" s="90"/>
      <c r="G35" s="8"/>
      <c r="I35" s="59"/>
      <c r="J35" s="20"/>
      <c r="L35" s="20"/>
      <c r="N35" s="91"/>
      <c r="O35" s="59"/>
      <c r="P35" s="59"/>
    </row>
    <row r="36">
      <c r="A36" s="20"/>
      <c r="C36" s="20"/>
      <c r="D36" s="89"/>
      <c r="E36" s="90"/>
      <c r="F36" s="90"/>
      <c r="G36" s="8"/>
      <c r="I36" s="59"/>
      <c r="J36" s="20"/>
      <c r="L36" s="20"/>
      <c r="N36" s="91"/>
      <c r="O36" s="59"/>
      <c r="P36" s="59"/>
    </row>
    <row r="37">
      <c r="A37" s="20"/>
      <c r="C37" s="20"/>
      <c r="D37" s="89"/>
      <c r="E37" s="90"/>
      <c r="F37" s="90"/>
      <c r="G37" s="8"/>
      <c r="I37" s="59"/>
      <c r="J37" s="20"/>
      <c r="L37" s="20"/>
      <c r="N37" s="91"/>
      <c r="O37" s="59"/>
      <c r="P37" s="59"/>
    </row>
    <row r="38">
      <c r="A38" s="20"/>
      <c r="C38" s="20"/>
      <c r="D38" s="89"/>
      <c r="E38" s="90"/>
      <c r="F38" s="90"/>
      <c r="G38" s="8"/>
      <c r="I38" s="59"/>
      <c r="J38" s="20"/>
      <c r="L38" s="20"/>
      <c r="N38" s="91"/>
      <c r="O38" s="59"/>
      <c r="P38" s="59"/>
    </row>
    <row r="39">
      <c r="A39" s="20"/>
      <c r="C39" s="20"/>
      <c r="D39" s="89"/>
      <c r="E39" s="90"/>
      <c r="F39" s="90"/>
      <c r="G39" s="8"/>
      <c r="I39" s="59"/>
      <c r="J39" s="20"/>
      <c r="L39" s="20"/>
      <c r="N39" s="91"/>
      <c r="O39" s="59"/>
      <c r="P39" s="59"/>
    </row>
    <row r="40">
      <c r="A40" s="20"/>
      <c r="C40" s="20"/>
      <c r="D40" s="89"/>
      <c r="E40" s="90"/>
      <c r="F40" s="90"/>
      <c r="G40" s="8"/>
      <c r="I40" s="59"/>
      <c r="J40" s="20"/>
      <c r="L40" s="20"/>
      <c r="N40" s="91"/>
      <c r="O40" s="59"/>
      <c r="P40" s="59"/>
    </row>
    <row r="41">
      <c r="A41" s="20"/>
      <c r="C41" s="20"/>
      <c r="D41" s="89"/>
      <c r="E41" s="90"/>
      <c r="F41" s="90"/>
      <c r="G41" s="8"/>
      <c r="I41" s="59"/>
      <c r="J41" s="20"/>
      <c r="L41" s="20"/>
      <c r="N41" s="91"/>
      <c r="O41" s="59"/>
      <c r="P41" s="59"/>
    </row>
    <row r="42">
      <c r="A42" s="20"/>
      <c r="C42" s="20"/>
      <c r="D42" s="89"/>
      <c r="E42" s="90"/>
      <c r="F42" s="90"/>
      <c r="G42" s="8"/>
      <c r="I42" s="59"/>
      <c r="J42" s="20"/>
      <c r="L42" s="20"/>
      <c r="N42" s="91"/>
      <c r="O42" s="59"/>
      <c r="P42" s="59"/>
    </row>
    <row r="43">
      <c r="A43" s="20"/>
      <c r="C43" s="20"/>
      <c r="D43" s="89"/>
      <c r="E43" s="90"/>
      <c r="F43" s="90"/>
      <c r="G43" s="8"/>
      <c r="I43" s="59"/>
      <c r="J43" s="20"/>
      <c r="L43" s="20"/>
      <c r="N43" s="91"/>
      <c r="O43" s="59"/>
      <c r="P43" s="59"/>
    </row>
    <row r="44">
      <c r="A44" s="20"/>
      <c r="C44" s="20"/>
      <c r="D44" s="89"/>
      <c r="E44" s="90"/>
      <c r="F44" s="90"/>
      <c r="G44" s="8"/>
      <c r="I44" s="59"/>
      <c r="J44" s="20"/>
      <c r="L44" s="20"/>
      <c r="N44" s="91"/>
      <c r="O44" s="59"/>
      <c r="P44" s="59"/>
    </row>
    <row r="45">
      <c r="A45" s="20"/>
      <c r="C45" s="20"/>
      <c r="D45" s="89"/>
      <c r="E45" s="90"/>
      <c r="F45" s="90"/>
      <c r="G45" s="8"/>
      <c r="I45" s="59"/>
      <c r="J45" s="20"/>
      <c r="L45" s="20"/>
      <c r="N45" s="91"/>
      <c r="O45" s="59"/>
      <c r="P45" s="59"/>
    </row>
    <row r="46">
      <c r="A46" s="20"/>
      <c r="C46" s="20"/>
      <c r="D46" s="89"/>
      <c r="E46" s="90"/>
      <c r="F46" s="90"/>
      <c r="G46" s="8"/>
      <c r="I46" s="59"/>
      <c r="J46" s="20"/>
      <c r="L46" s="20"/>
      <c r="N46" s="91"/>
      <c r="O46" s="59"/>
      <c r="P46" s="59"/>
    </row>
    <row r="47">
      <c r="A47" s="20"/>
      <c r="C47" s="20"/>
      <c r="D47" s="89"/>
      <c r="E47" s="90"/>
      <c r="F47" s="90"/>
      <c r="G47" s="8"/>
      <c r="I47" s="59"/>
      <c r="J47" s="20"/>
      <c r="L47" s="20"/>
      <c r="N47" s="91"/>
      <c r="O47" s="59"/>
      <c r="P47" s="59"/>
    </row>
    <row r="48">
      <c r="A48" s="20"/>
      <c r="C48" s="20"/>
      <c r="D48" s="89"/>
      <c r="E48" s="90"/>
      <c r="F48" s="90"/>
      <c r="G48" s="8"/>
      <c r="I48" s="59"/>
      <c r="J48" s="20"/>
      <c r="L48" s="20"/>
      <c r="N48" s="91"/>
      <c r="O48" s="59"/>
      <c r="P48" s="59"/>
    </row>
    <row r="49">
      <c r="A49" s="20"/>
      <c r="C49" s="20"/>
      <c r="D49" s="89"/>
      <c r="E49" s="90"/>
      <c r="F49" s="90"/>
      <c r="G49" s="8"/>
      <c r="I49" s="59"/>
      <c r="J49" s="20"/>
      <c r="L49" s="20"/>
      <c r="N49" s="91"/>
      <c r="O49" s="59"/>
      <c r="P49" s="59"/>
    </row>
    <row r="50">
      <c r="A50" s="20"/>
      <c r="C50" s="20"/>
      <c r="D50" s="89"/>
      <c r="E50" s="90"/>
      <c r="F50" s="90"/>
      <c r="G50" s="8"/>
      <c r="I50" s="59"/>
      <c r="J50" s="20"/>
      <c r="L50" s="20"/>
      <c r="N50" s="91"/>
      <c r="O50" s="59"/>
      <c r="P50" s="59"/>
    </row>
    <row r="51">
      <c r="A51" s="20"/>
      <c r="C51" s="20"/>
      <c r="D51" s="89"/>
      <c r="E51" s="90"/>
      <c r="F51" s="90"/>
      <c r="G51" s="8"/>
      <c r="I51" s="59"/>
      <c r="J51" s="20"/>
      <c r="L51" s="20"/>
      <c r="N51" s="91"/>
      <c r="O51" s="59"/>
      <c r="P51" s="59"/>
    </row>
    <row r="52">
      <c r="A52" s="20"/>
      <c r="C52" s="20"/>
      <c r="D52" s="89"/>
      <c r="E52" s="90"/>
      <c r="F52" s="90"/>
      <c r="G52" s="8"/>
      <c r="I52" s="59"/>
      <c r="J52" s="20"/>
      <c r="L52" s="20"/>
      <c r="N52" s="91"/>
      <c r="O52" s="59"/>
      <c r="P52" s="59"/>
    </row>
    <row r="53">
      <c r="A53" s="20"/>
      <c r="C53" s="20"/>
      <c r="D53" s="89"/>
      <c r="E53" s="90"/>
      <c r="F53" s="90"/>
      <c r="G53" s="8"/>
      <c r="I53" s="59"/>
      <c r="J53" s="20"/>
      <c r="L53" s="20"/>
      <c r="N53" s="91"/>
      <c r="O53" s="59"/>
      <c r="P53" s="59"/>
    </row>
    <row r="54">
      <c r="A54" s="20"/>
      <c r="C54" s="20"/>
      <c r="D54" s="89"/>
      <c r="E54" s="90"/>
      <c r="F54" s="90"/>
      <c r="G54" s="8"/>
      <c r="I54" s="59"/>
      <c r="J54" s="20"/>
      <c r="L54" s="20"/>
      <c r="N54" s="91"/>
      <c r="O54" s="59"/>
      <c r="P54" s="59"/>
    </row>
    <row r="55">
      <c r="A55" s="20"/>
      <c r="C55" s="20"/>
      <c r="D55" s="89"/>
      <c r="E55" s="90"/>
      <c r="F55" s="90"/>
      <c r="G55" s="8"/>
      <c r="I55" s="59"/>
      <c r="J55" s="20"/>
      <c r="L55" s="20"/>
      <c r="N55" s="91"/>
      <c r="O55" s="59"/>
      <c r="P55" s="59"/>
    </row>
    <row r="56">
      <c r="A56" s="20"/>
      <c r="C56" s="20"/>
      <c r="D56" s="89"/>
      <c r="E56" s="90"/>
      <c r="F56" s="90"/>
      <c r="G56" s="8"/>
      <c r="I56" s="59"/>
      <c r="J56" s="20"/>
      <c r="L56" s="20"/>
      <c r="N56" s="91"/>
      <c r="O56" s="59"/>
      <c r="P56" s="59"/>
    </row>
    <row r="57">
      <c r="A57" s="20"/>
      <c r="C57" s="20"/>
      <c r="D57" s="89"/>
      <c r="E57" s="90"/>
      <c r="F57" s="90"/>
      <c r="G57" s="8"/>
      <c r="I57" s="59"/>
      <c r="J57" s="20"/>
      <c r="L57" s="20"/>
      <c r="N57" s="91"/>
      <c r="O57" s="59"/>
      <c r="P57" s="59"/>
    </row>
    <row r="58">
      <c r="A58" s="20"/>
      <c r="C58" s="20"/>
      <c r="D58" s="89"/>
      <c r="E58" s="90"/>
      <c r="F58" s="90"/>
      <c r="G58" s="8"/>
      <c r="I58" s="59"/>
      <c r="J58" s="20"/>
      <c r="L58" s="20"/>
      <c r="N58" s="91"/>
      <c r="O58" s="59"/>
      <c r="P58" s="59"/>
    </row>
    <row r="59">
      <c r="A59" s="20"/>
      <c r="C59" s="20"/>
      <c r="D59" s="89"/>
      <c r="E59" s="90"/>
      <c r="F59" s="90"/>
      <c r="G59" s="8"/>
      <c r="I59" s="59"/>
      <c r="J59" s="20"/>
      <c r="L59" s="20"/>
      <c r="N59" s="91"/>
      <c r="O59" s="59"/>
      <c r="P59" s="59"/>
    </row>
    <row r="60">
      <c r="A60" s="20"/>
      <c r="C60" s="20"/>
      <c r="D60" s="89"/>
      <c r="E60" s="90"/>
      <c r="F60" s="90"/>
      <c r="G60" s="8"/>
      <c r="I60" s="59"/>
      <c r="J60" s="20"/>
      <c r="L60" s="20"/>
      <c r="N60" s="91"/>
      <c r="O60" s="59"/>
      <c r="P60" s="59"/>
    </row>
    <row r="61">
      <c r="A61" s="20"/>
      <c r="C61" s="20"/>
      <c r="D61" s="89"/>
      <c r="E61" s="90"/>
      <c r="F61" s="90"/>
      <c r="G61" s="8"/>
      <c r="I61" s="59"/>
      <c r="J61" s="20"/>
      <c r="L61" s="20"/>
      <c r="N61" s="91"/>
      <c r="O61" s="59"/>
      <c r="P61" s="59"/>
    </row>
    <row r="62">
      <c r="A62" s="20"/>
      <c r="C62" s="20"/>
      <c r="D62" s="89"/>
      <c r="E62" s="90"/>
      <c r="F62" s="90"/>
      <c r="G62" s="8"/>
      <c r="I62" s="59"/>
      <c r="J62" s="20"/>
      <c r="L62" s="20"/>
      <c r="N62" s="91"/>
      <c r="O62" s="59"/>
      <c r="P62" s="59"/>
    </row>
    <row r="63">
      <c r="A63" s="20"/>
      <c r="C63" s="20"/>
      <c r="D63" s="89"/>
      <c r="E63" s="90"/>
      <c r="F63" s="90"/>
      <c r="G63" s="8"/>
      <c r="I63" s="59"/>
      <c r="J63" s="20"/>
      <c r="L63" s="20"/>
      <c r="N63" s="91"/>
      <c r="O63" s="59"/>
      <c r="P63" s="59"/>
    </row>
    <row r="64">
      <c r="A64" s="20"/>
      <c r="C64" s="20"/>
      <c r="D64" s="89"/>
      <c r="E64" s="90"/>
      <c r="F64" s="90"/>
      <c r="G64" s="8"/>
      <c r="I64" s="59"/>
      <c r="J64" s="20"/>
      <c r="L64" s="20"/>
      <c r="N64" s="91"/>
      <c r="O64" s="59"/>
      <c r="P64" s="59"/>
    </row>
    <row r="65">
      <c r="A65" s="20"/>
      <c r="C65" s="20"/>
      <c r="D65" s="92"/>
      <c r="E65" s="93"/>
      <c r="F65" s="94"/>
      <c r="G65" s="8"/>
      <c r="I65" s="59"/>
      <c r="J65" s="20"/>
      <c r="L65" s="20"/>
      <c r="N65" s="91"/>
      <c r="O65" s="59"/>
      <c r="P65" s="59"/>
    </row>
    <row r="66">
      <c r="A66" s="20"/>
      <c r="C66" s="20"/>
      <c r="D66" s="92"/>
      <c r="E66" s="93"/>
      <c r="F66" s="94"/>
      <c r="G66" s="8"/>
      <c r="I66" s="59"/>
      <c r="J66" s="20"/>
      <c r="L66" s="20"/>
      <c r="N66" s="91"/>
      <c r="O66" s="59"/>
      <c r="P66" s="59"/>
    </row>
    <row r="67">
      <c r="A67" s="20"/>
      <c r="C67" s="20"/>
      <c r="D67" s="92"/>
      <c r="E67" s="93"/>
      <c r="F67" s="94"/>
      <c r="G67" s="8"/>
      <c r="I67" s="59"/>
      <c r="J67" s="20"/>
      <c r="L67" s="20"/>
      <c r="N67" s="91"/>
      <c r="O67" s="59"/>
      <c r="P67" s="59"/>
    </row>
    <row r="68">
      <c r="A68" s="20"/>
      <c r="C68" s="20"/>
      <c r="D68" s="92"/>
      <c r="E68" s="93"/>
      <c r="F68" s="94"/>
      <c r="G68" s="8"/>
      <c r="I68" s="59"/>
      <c r="J68" s="20"/>
      <c r="L68" s="20"/>
      <c r="N68" s="91"/>
      <c r="O68" s="59"/>
      <c r="P68" s="59"/>
    </row>
    <row r="69">
      <c r="A69" s="20"/>
      <c r="C69" s="20"/>
      <c r="D69" s="92"/>
      <c r="E69" s="93"/>
      <c r="F69" s="94"/>
      <c r="G69" s="8"/>
      <c r="I69" s="59"/>
      <c r="J69" s="20"/>
      <c r="L69" s="20"/>
      <c r="N69" s="91"/>
      <c r="O69" s="59"/>
      <c r="P69" s="59"/>
    </row>
    <row r="70">
      <c r="A70" s="20"/>
      <c r="C70" s="20"/>
      <c r="D70" s="92"/>
      <c r="E70" s="93"/>
      <c r="F70" s="94"/>
      <c r="G70" s="8"/>
      <c r="I70" s="59"/>
      <c r="J70" s="20"/>
      <c r="L70" s="20"/>
      <c r="N70" s="91"/>
      <c r="O70" s="59"/>
      <c r="P70" s="59"/>
    </row>
    <row r="71">
      <c r="A71" s="20"/>
      <c r="C71" s="20"/>
      <c r="D71" s="92"/>
      <c r="E71" s="93"/>
      <c r="F71" s="94"/>
      <c r="G71" s="8"/>
      <c r="I71" s="59"/>
      <c r="J71" s="20"/>
      <c r="L71" s="20"/>
      <c r="N71" s="91"/>
      <c r="O71" s="59"/>
      <c r="P71" s="59"/>
    </row>
    <row r="72">
      <c r="A72" s="20"/>
      <c r="C72" s="20"/>
      <c r="D72" s="92"/>
      <c r="E72" s="93"/>
      <c r="F72" s="94"/>
      <c r="G72" s="8"/>
      <c r="I72" s="59"/>
      <c r="J72" s="20"/>
      <c r="L72" s="20"/>
      <c r="N72" s="91"/>
      <c r="O72" s="59"/>
      <c r="P72" s="59"/>
    </row>
    <row r="73">
      <c r="A73" s="20"/>
      <c r="C73" s="20"/>
      <c r="D73" s="92"/>
      <c r="E73" s="93"/>
      <c r="F73" s="94"/>
      <c r="G73" s="8"/>
      <c r="I73" s="59"/>
      <c r="J73" s="20"/>
      <c r="L73" s="20"/>
      <c r="N73" s="91"/>
      <c r="O73" s="59"/>
      <c r="P73" s="59"/>
    </row>
    <row r="74">
      <c r="A74" s="20"/>
      <c r="C74" s="20"/>
      <c r="D74" s="92"/>
      <c r="E74" s="93"/>
      <c r="F74" s="94"/>
      <c r="G74" s="8"/>
      <c r="I74" s="59"/>
      <c r="J74" s="20"/>
      <c r="L74" s="20"/>
      <c r="N74" s="91"/>
      <c r="O74" s="59"/>
      <c r="P74" s="59"/>
    </row>
    <row r="75">
      <c r="A75" s="20"/>
      <c r="C75" s="20"/>
      <c r="D75" s="92"/>
      <c r="E75" s="93"/>
      <c r="F75" s="94"/>
      <c r="G75" s="8"/>
      <c r="I75" s="59"/>
      <c r="J75" s="20"/>
      <c r="L75" s="20"/>
      <c r="N75" s="91"/>
      <c r="O75" s="59"/>
      <c r="P75" s="59"/>
    </row>
    <row r="76">
      <c r="A76" s="20"/>
      <c r="C76" s="20"/>
      <c r="D76" s="92"/>
      <c r="E76" s="93"/>
      <c r="F76" s="94"/>
      <c r="G76" s="8"/>
      <c r="I76" s="59"/>
      <c r="J76" s="20"/>
      <c r="L76" s="20"/>
      <c r="N76" s="91"/>
      <c r="O76" s="59"/>
      <c r="P76" s="59"/>
    </row>
    <row r="77">
      <c r="A77" s="20"/>
      <c r="C77" s="20"/>
      <c r="D77" s="92"/>
      <c r="E77" s="93"/>
      <c r="F77" s="94"/>
      <c r="G77" s="8"/>
      <c r="I77" s="59"/>
      <c r="J77" s="20"/>
      <c r="L77" s="20"/>
      <c r="N77" s="91"/>
      <c r="O77" s="59"/>
      <c r="P77" s="59"/>
    </row>
    <row r="78">
      <c r="A78" s="20"/>
      <c r="C78" s="20"/>
      <c r="D78" s="92"/>
      <c r="E78" s="93"/>
      <c r="F78" s="94"/>
      <c r="G78" s="8"/>
      <c r="I78" s="59"/>
      <c r="J78" s="20"/>
      <c r="L78" s="20"/>
      <c r="N78" s="91"/>
      <c r="O78" s="59"/>
      <c r="P78" s="59"/>
    </row>
    <row r="79">
      <c r="A79" s="20"/>
      <c r="C79" s="20"/>
      <c r="D79" s="92"/>
      <c r="E79" s="93"/>
      <c r="F79" s="94"/>
      <c r="G79" s="8"/>
      <c r="I79" s="59"/>
      <c r="J79" s="20"/>
      <c r="L79" s="20"/>
      <c r="N79" s="91"/>
      <c r="O79" s="59"/>
      <c r="P79" s="59"/>
    </row>
    <row r="80">
      <c r="A80" s="20"/>
      <c r="C80" s="20"/>
      <c r="D80" s="92"/>
      <c r="E80" s="93"/>
      <c r="F80" s="94"/>
      <c r="G80" s="8"/>
      <c r="I80" s="59"/>
      <c r="J80" s="20"/>
      <c r="L80" s="20"/>
      <c r="N80" s="91"/>
      <c r="O80" s="59"/>
      <c r="P80" s="59"/>
    </row>
    <row r="81">
      <c r="A81" s="20"/>
      <c r="C81" s="20"/>
      <c r="D81" s="92"/>
      <c r="E81" s="93"/>
      <c r="F81" s="94"/>
      <c r="G81" s="8"/>
      <c r="I81" s="59"/>
      <c r="J81" s="20"/>
      <c r="L81" s="20"/>
      <c r="N81" s="91"/>
      <c r="O81" s="59"/>
      <c r="P81" s="59"/>
    </row>
    <row r="82">
      <c r="A82" s="20"/>
      <c r="C82" s="20"/>
      <c r="D82" s="92"/>
      <c r="E82" s="93"/>
      <c r="F82" s="94"/>
      <c r="G82" s="8"/>
      <c r="I82" s="59"/>
      <c r="J82" s="20"/>
      <c r="L82" s="20"/>
      <c r="N82" s="91"/>
      <c r="O82" s="59"/>
      <c r="P82" s="59"/>
    </row>
    <row r="83">
      <c r="A83" s="20"/>
      <c r="C83" s="20"/>
      <c r="D83" s="92"/>
      <c r="E83" s="93"/>
      <c r="F83" s="94"/>
      <c r="G83" s="8"/>
      <c r="I83" s="59"/>
      <c r="J83" s="20"/>
      <c r="L83" s="20"/>
      <c r="N83" s="91"/>
      <c r="O83" s="59"/>
      <c r="P83" s="59"/>
    </row>
    <row r="84">
      <c r="A84" s="20"/>
      <c r="C84" s="20"/>
      <c r="D84" s="92"/>
      <c r="E84" s="93"/>
      <c r="F84" s="94"/>
      <c r="G84" s="8"/>
      <c r="I84" s="59"/>
      <c r="J84" s="20"/>
      <c r="L84" s="20"/>
      <c r="N84" s="91"/>
      <c r="O84" s="59"/>
      <c r="P84" s="59"/>
    </row>
    <row r="85">
      <c r="A85" s="20"/>
      <c r="C85" s="20"/>
      <c r="D85" s="92"/>
      <c r="E85" s="93"/>
      <c r="F85" s="94"/>
      <c r="G85" s="8"/>
      <c r="I85" s="59"/>
      <c r="J85" s="20"/>
      <c r="L85" s="20"/>
      <c r="N85" s="91"/>
      <c r="O85" s="59"/>
      <c r="P85" s="59"/>
    </row>
    <row r="86">
      <c r="A86" s="20"/>
      <c r="C86" s="20"/>
      <c r="D86" s="92"/>
      <c r="E86" s="93"/>
      <c r="F86" s="94"/>
      <c r="G86" s="8"/>
      <c r="I86" s="59"/>
      <c r="J86" s="20"/>
      <c r="L86" s="20"/>
      <c r="N86" s="91"/>
      <c r="O86" s="59"/>
      <c r="P86" s="59"/>
    </row>
    <row r="87">
      <c r="A87" s="20"/>
      <c r="C87" s="20"/>
      <c r="D87" s="92"/>
      <c r="E87" s="93"/>
      <c r="F87" s="94"/>
      <c r="G87" s="8"/>
      <c r="I87" s="59"/>
      <c r="J87" s="20"/>
      <c r="L87" s="20"/>
      <c r="N87" s="91"/>
      <c r="O87" s="59"/>
      <c r="P87" s="59"/>
    </row>
    <row r="88">
      <c r="A88" s="20"/>
      <c r="C88" s="20"/>
      <c r="D88" s="92"/>
      <c r="E88" s="93"/>
      <c r="F88" s="94"/>
      <c r="G88" s="8"/>
      <c r="I88" s="59"/>
      <c r="J88" s="20"/>
      <c r="L88" s="20"/>
      <c r="N88" s="91"/>
      <c r="O88" s="59"/>
      <c r="P88" s="59"/>
    </row>
    <row r="89">
      <c r="A89" s="20"/>
      <c r="C89" s="20"/>
      <c r="D89" s="92"/>
      <c r="E89" s="93"/>
      <c r="F89" s="94"/>
      <c r="G89" s="8"/>
      <c r="I89" s="59"/>
      <c r="J89" s="20"/>
      <c r="L89" s="20"/>
      <c r="N89" s="91"/>
      <c r="O89" s="59"/>
      <c r="P89" s="59"/>
    </row>
    <row r="90">
      <c r="A90" s="20"/>
      <c r="C90" s="20"/>
      <c r="D90" s="92"/>
      <c r="E90" s="93"/>
      <c r="F90" s="94"/>
      <c r="G90" s="8"/>
      <c r="I90" s="59"/>
      <c r="J90" s="20"/>
      <c r="L90" s="20"/>
      <c r="N90" s="91"/>
      <c r="O90" s="59"/>
      <c r="P90" s="59"/>
    </row>
    <row r="91">
      <c r="A91" s="20"/>
      <c r="C91" s="20"/>
      <c r="D91" s="92"/>
      <c r="E91" s="93"/>
      <c r="F91" s="94"/>
      <c r="G91" s="8"/>
      <c r="I91" s="59"/>
      <c r="J91" s="20"/>
      <c r="L91" s="20"/>
      <c r="N91" s="91"/>
      <c r="O91" s="59"/>
      <c r="P91" s="59"/>
    </row>
    <row r="92">
      <c r="A92" s="20"/>
      <c r="C92" s="20"/>
      <c r="D92" s="92"/>
      <c r="E92" s="93"/>
      <c r="F92" s="94"/>
      <c r="G92" s="8"/>
      <c r="I92" s="59"/>
      <c r="J92" s="20"/>
      <c r="L92" s="20"/>
      <c r="N92" s="91"/>
      <c r="O92" s="59"/>
      <c r="P92" s="59"/>
    </row>
    <row r="93">
      <c r="A93" s="20"/>
      <c r="C93" s="20"/>
      <c r="D93" s="92"/>
      <c r="E93" s="93"/>
      <c r="F93" s="94"/>
      <c r="G93" s="8"/>
      <c r="I93" s="59"/>
      <c r="J93" s="20"/>
      <c r="L93" s="20"/>
      <c r="N93" s="91"/>
      <c r="O93" s="59"/>
      <c r="P93" s="59"/>
    </row>
    <row r="94">
      <c r="A94" s="20"/>
      <c r="C94" s="20"/>
      <c r="D94" s="92"/>
      <c r="E94" s="93"/>
      <c r="F94" s="94"/>
      <c r="G94" s="8"/>
      <c r="I94" s="59"/>
      <c r="J94" s="20"/>
      <c r="L94" s="20"/>
      <c r="N94" s="91"/>
      <c r="O94" s="59"/>
      <c r="P94" s="59"/>
    </row>
    <row r="95">
      <c r="A95" s="20"/>
      <c r="C95" s="20"/>
      <c r="D95" s="92"/>
      <c r="E95" s="93"/>
      <c r="F95" s="94"/>
      <c r="G95" s="8"/>
      <c r="I95" s="59"/>
      <c r="J95" s="20"/>
      <c r="L95" s="20"/>
      <c r="N95" s="91"/>
      <c r="O95" s="59"/>
      <c r="P95" s="59"/>
    </row>
    <row r="96">
      <c r="A96" s="20"/>
      <c r="C96" s="20"/>
      <c r="D96" s="92"/>
      <c r="E96" s="93"/>
      <c r="F96" s="94"/>
      <c r="G96" s="8"/>
      <c r="I96" s="59"/>
      <c r="J96" s="20"/>
      <c r="L96" s="20"/>
      <c r="N96" s="91"/>
      <c r="O96" s="59"/>
      <c r="P96" s="59"/>
    </row>
    <row r="97">
      <c r="A97" s="20"/>
      <c r="C97" s="20"/>
      <c r="D97" s="92"/>
      <c r="E97" s="93"/>
      <c r="F97" s="94"/>
      <c r="G97" s="8"/>
      <c r="I97" s="59"/>
      <c r="J97" s="20"/>
      <c r="L97" s="20"/>
      <c r="N97" s="91"/>
      <c r="O97" s="59"/>
      <c r="P97" s="59"/>
    </row>
    <row r="98">
      <c r="A98" s="20"/>
      <c r="C98" s="20"/>
      <c r="D98" s="92"/>
      <c r="E98" s="93"/>
      <c r="F98" s="94"/>
      <c r="G98" s="8"/>
      <c r="I98" s="59"/>
      <c r="J98" s="20"/>
      <c r="L98" s="20"/>
      <c r="N98" s="91"/>
      <c r="O98" s="59"/>
      <c r="P98" s="59"/>
    </row>
    <row r="99">
      <c r="A99" s="20"/>
      <c r="C99" s="20"/>
      <c r="D99" s="92"/>
      <c r="E99" s="93"/>
      <c r="F99" s="94"/>
      <c r="G99" s="8"/>
      <c r="I99" s="59"/>
      <c r="J99" s="20"/>
      <c r="L99" s="20"/>
      <c r="N99" s="91"/>
      <c r="O99" s="59"/>
      <c r="P99" s="59"/>
    </row>
    <row r="100">
      <c r="A100" s="20"/>
      <c r="C100" s="20"/>
      <c r="D100" s="92"/>
      <c r="E100" s="93"/>
      <c r="F100" s="94"/>
      <c r="G100" s="8"/>
      <c r="I100" s="59"/>
      <c r="J100" s="20"/>
      <c r="L100" s="20"/>
      <c r="N100" s="91"/>
      <c r="O100" s="59"/>
      <c r="P100" s="59"/>
    </row>
    <row r="101">
      <c r="A101" s="20"/>
      <c r="C101" s="20"/>
      <c r="D101" s="92"/>
      <c r="E101" s="93"/>
      <c r="F101" s="94"/>
      <c r="G101" s="8"/>
      <c r="I101" s="59"/>
      <c r="J101" s="20"/>
      <c r="L101" s="20"/>
      <c r="N101" s="91"/>
      <c r="O101" s="59"/>
      <c r="P101" s="59"/>
    </row>
    <row r="102">
      <c r="A102" s="20"/>
      <c r="C102" s="20"/>
      <c r="D102" s="92"/>
      <c r="E102" s="93"/>
      <c r="F102" s="94"/>
      <c r="G102" s="8"/>
      <c r="I102" s="59"/>
      <c r="J102" s="20"/>
      <c r="L102" s="20"/>
      <c r="N102" s="91"/>
      <c r="O102" s="59"/>
      <c r="P102" s="59"/>
    </row>
    <row r="103">
      <c r="A103" s="20"/>
      <c r="C103" s="20"/>
      <c r="D103" s="92"/>
      <c r="E103" s="93"/>
      <c r="F103" s="94"/>
      <c r="G103" s="8"/>
      <c r="I103" s="59"/>
      <c r="J103" s="20"/>
      <c r="L103" s="20"/>
      <c r="N103" s="91"/>
      <c r="O103" s="59"/>
      <c r="P103" s="59"/>
    </row>
    <row r="104">
      <c r="A104" s="20"/>
      <c r="C104" s="20"/>
      <c r="D104" s="92"/>
      <c r="E104" s="93"/>
      <c r="F104" s="94"/>
      <c r="G104" s="8"/>
      <c r="I104" s="59"/>
      <c r="J104" s="20"/>
      <c r="L104" s="20"/>
      <c r="N104" s="91"/>
      <c r="O104" s="59"/>
      <c r="P104" s="59"/>
    </row>
    <row r="105">
      <c r="A105" s="20"/>
      <c r="C105" s="20"/>
      <c r="D105" s="92"/>
      <c r="E105" s="93"/>
      <c r="F105" s="94"/>
      <c r="G105" s="8"/>
      <c r="I105" s="59"/>
      <c r="J105" s="20"/>
      <c r="L105" s="20"/>
      <c r="N105" s="91"/>
      <c r="O105" s="59"/>
      <c r="P105" s="59"/>
    </row>
    <row r="106">
      <c r="A106" s="20"/>
      <c r="C106" s="20"/>
      <c r="D106" s="92"/>
      <c r="E106" s="93"/>
      <c r="F106" s="94"/>
      <c r="G106" s="8"/>
      <c r="I106" s="59"/>
      <c r="J106" s="20"/>
      <c r="L106" s="20"/>
      <c r="N106" s="91"/>
      <c r="O106" s="59"/>
      <c r="P106" s="59"/>
    </row>
    <row r="107">
      <c r="A107" s="20"/>
      <c r="C107" s="20"/>
      <c r="D107" s="92"/>
      <c r="E107" s="93"/>
      <c r="F107" s="94"/>
      <c r="G107" s="8"/>
      <c r="I107" s="59"/>
      <c r="J107" s="20"/>
      <c r="L107" s="20"/>
      <c r="N107" s="91"/>
      <c r="O107" s="59"/>
      <c r="P107" s="59"/>
    </row>
    <row r="108">
      <c r="A108" s="20"/>
      <c r="C108" s="20"/>
      <c r="D108" s="92"/>
      <c r="E108" s="93"/>
      <c r="F108" s="94"/>
      <c r="G108" s="8"/>
      <c r="I108" s="59"/>
      <c r="J108" s="20"/>
      <c r="L108" s="20"/>
      <c r="N108" s="91"/>
      <c r="O108" s="59"/>
      <c r="P108" s="59"/>
    </row>
    <row r="109">
      <c r="A109" s="20"/>
      <c r="C109" s="20"/>
      <c r="D109" s="92"/>
      <c r="E109" s="93"/>
      <c r="F109" s="94"/>
      <c r="G109" s="8"/>
      <c r="I109" s="59"/>
      <c r="J109" s="20"/>
      <c r="L109" s="20"/>
      <c r="N109" s="91"/>
      <c r="O109" s="59"/>
      <c r="P109" s="59"/>
    </row>
    <row r="110">
      <c r="A110" s="20"/>
      <c r="C110" s="20"/>
      <c r="D110" s="92"/>
      <c r="E110" s="93"/>
      <c r="F110" s="94"/>
      <c r="G110" s="8"/>
      <c r="I110" s="59"/>
      <c r="J110" s="20"/>
      <c r="L110" s="20"/>
      <c r="N110" s="91"/>
      <c r="O110" s="59"/>
      <c r="P110" s="59"/>
    </row>
    <row r="111">
      <c r="A111" s="20"/>
      <c r="C111" s="20"/>
      <c r="D111" s="92"/>
      <c r="E111" s="93"/>
      <c r="F111" s="94"/>
      <c r="G111" s="8"/>
      <c r="I111" s="59"/>
      <c r="J111" s="20"/>
      <c r="L111" s="20"/>
      <c r="N111" s="91"/>
      <c r="O111" s="59"/>
      <c r="P111" s="59"/>
    </row>
    <row r="112">
      <c r="A112" s="20"/>
      <c r="C112" s="20"/>
      <c r="D112" s="92"/>
      <c r="E112" s="93"/>
      <c r="F112" s="94"/>
      <c r="G112" s="8"/>
      <c r="I112" s="59"/>
      <c r="J112" s="20"/>
      <c r="L112" s="20"/>
      <c r="N112" s="91"/>
      <c r="O112" s="59"/>
      <c r="P112" s="59"/>
    </row>
    <row r="113">
      <c r="A113" s="20"/>
      <c r="C113" s="20"/>
      <c r="D113" s="92"/>
      <c r="E113" s="93"/>
      <c r="F113" s="94"/>
      <c r="G113" s="8"/>
      <c r="I113" s="59"/>
      <c r="J113" s="20"/>
      <c r="L113" s="20"/>
      <c r="N113" s="91"/>
      <c r="O113" s="59"/>
      <c r="P113" s="59"/>
    </row>
    <row r="114">
      <c r="A114" s="20"/>
      <c r="C114" s="20"/>
      <c r="D114" s="92"/>
      <c r="E114" s="93"/>
      <c r="F114" s="94"/>
      <c r="G114" s="8"/>
      <c r="I114" s="59"/>
      <c r="J114" s="20"/>
      <c r="L114" s="20"/>
      <c r="N114" s="91"/>
      <c r="O114" s="59"/>
      <c r="P114" s="59"/>
    </row>
    <row r="115">
      <c r="A115" s="20"/>
      <c r="C115" s="20"/>
      <c r="D115" s="92"/>
      <c r="E115" s="93"/>
      <c r="F115" s="94"/>
      <c r="G115" s="8"/>
      <c r="I115" s="59"/>
      <c r="J115" s="20"/>
      <c r="L115" s="20"/>
      <c r="N115" s="91"/>
      <c r="O115" s="59"/>
      <c r="P115" s="59"/>
    </row>
    <row r="116">
      <c r="A116" s="20"/>
      <c r="C116" s="20"/>
      <c r="D116" s="92"/>
      <c r="E116" s="93"/>
      <c r="F116" s="94"/>
      <c r="G116" s="8"/>
      <c r="I116" s="59"/>
      <c r="J116" s="20"/>
      <c r="L116" s="20"/>
      <c r="N116" s="91"/>
      <c r="O116" s="59"/>
      <c r="P116" s="59"/>
    </row>
    <row r="117">
      <c r="A117" s="20"/>
      <c r="C117" s="20"/>
      <c r="D117" s="92"/>
      <c r="E117" s="93"/>
      <c r="F117" s="94"/>
      <c r="G117" s="8"/>
      <c r="I117" s="59"/>
      <c r="J117" s="20"/>
      <c r="L117" s="20"/>
      <c r="N117" s="91"/>
      <c r="O117" s="59"/>
      <c r="P117" s="59"/>
    </row>
    <row r="118">
      <c r="A118" s="20"/>
      <c r="C118" s="20"/>
      <c r="D118" s="92"/>
      <c r="E118" s="93"/>
      <c r="F118" s="94"/>
      <c r="G118" s="8"/>
      <c r="I118" s="59"/>
      <c r="J118" s="20"/>
      <c r="L118" s="20"/>
      <c r="N118" s="91"/>
      <c r="O118" s="59"/>
      <c r="P118" s="59"/>
    </row>
    <row r="119">
      <c r="A119" s="20"/>
      <c r="C119" s="20"/>
      <c r="D119" s="92"/>
      <c r="E119" s="93"/>
      <c r="F119" s="94"/>
      <c r="G119" s="8"/>
      <c r="I119" s="59"/>
      <c r="J119" s="20"/>
      <c r="L119" s="20"/>
      <c r="N119" s="91"/>
      <c r="O119" s="59"/>
      <c r="P119" s="59"/>
    </row>
    <row r="120">
      <c r="A120" s="20"/>
      <c r="C120" s="20"/>
      <c r="D120" s="92"/>
      <c r="E120" s="93"/>
      <c r="F120" s="94"/>
      <c r="G120" s="8"/>
      <c r="I120" s="59"/>
      <c r="J120" s="20"/>
      <c r="L120" s="20"/>
      <c r="N120" s="91"/>
      <c r="O120" s="59"/>
      <c r="P120" s="59"/>
    </row>
    <row r="121">
      <c r="A121" s="20"/>
      <c r="C121" s="20"/>
      <c r="D121" s="92"/>
      <c r="E121" s="93"/>
      <c r="F121" s="94"/>
      <c r="G121" s="8"/>
      <c r="I121" s="59"/>
      <c r="J121" s="20"/>
      <c r="L121" s="20"/>
      <c r="N121" s="91"/>
      <c r="O121" s="59"/>
      <c r="P121" s="59"/>
    </row>
    <row r="122">
      <c r="A122" s="20"/>
      <c r="C122" s="20"/>
      <c r="D122" s="92"/>
      <c r="E122" s="93"/>
      <c r="F122" s="94"/>
      <c r="G122" s="8"/>
      <c r="I122" s="59"/>
      <c r="J122" s="20"/>
      <c r="L122" s="20"/>
      <c r="N122" s="91"/>
      <c r="O122" s="59"/>
      <c r="P122" s="59"/>
    </row>
    <row r="123">
      <c r="A123" s="20"/>
      <c r="C123" s="20"/>
      <c r="D123" s="92"/>
      <c r="E123" s="93"/>
      <c r="F123" s="94"/>
      <c r="G123" s="8"/>
      <c r="I123" s="59"/>
      <c r="J123" s="20"/>
      <c r="L123" s="20"/>
      <c r="N123" s="91"/>
      <c r="O123" s="59"/>
      <c r="P123" s="59"/>
    </row>
    <row r="124">
      <c r="A124" s="20"/>
      <c r="C124" s="20"/>
      <c r="D124" s="92"/>
      <c r="E124" s="93"/>
      <c r="F124" s="94"/>
      <c r="G124" s="8"/>
      <c r="I124" s="59"/>
      <c r="J124" s="20"/>
      <c r="L124" s="20"/>
      <c r="N124" s="91"/>
      <c r="O124" s="59"/>
      <c r="P124" s="59"/>
    </row>
    <row r="125">
      <c r="A125" s="20"/>
      <c r="C125" s="20"/>
      <c r="D125" s="92"/>
      <c r="E125" s="93"/>
      <c r="F125" s="94"/>
      <c r="G125" s="8"/>
      <c r="I125" s="59"/>
      <c r="J125" s="20"/>
      <c r="L125" s="20"/>
      <c r="N125" s="91"/>
      <c r="O125" s="59"/>
      <c r="P125" s="59"/>
    </row>
    <row r="126">
      <c r="A126" s="20"/>
      <c r="C126" s="20"/>
      <c r="D126" s="92"/>
      <c r="E126" s="93"/>
      <c r="F126" s="94"/>
      <c r="G126" s="8"/>
      <c r="I126" s="59"/>
      <c r="J126" s="20"/>
      <c r="L126" s="20"/>
      <c r="N126" s="91"/>
      <c r="O126" s="59"/>
      <c r="P126" s="59"/>
    </row>
    <row r="127">
      <c r="A127" s="20"/>
      <c r="C127" s="20"/>
      <c r="D127" s="92"/>
      <c r="E127" s="93"/>
      <c r="F127" s="94"/>
      <c r="G127" s="8"/>
      <c r="I127" s="59"/>
      <c r="J127" s="20"/>
      <c r="L127" s="20"/>
      <c r="N127" s="91"/>
      <c r="O127" s="59"/>
      <c r="P127" s="59"/>
    </row>
    <row r="128">
      <c r="A128" s="20"/>
      <c r="C128" s="20"/>
      <c r="D128" s="92"/>
      <c r="E128" s="93"/>
      <c r="F128" s="94"/>
      <c r="G128" s="8"/>
      <c r="I128" s="59"/>
      <c r="J128" s="20"/>
      <c r="L128" s="20"/>
      <c r="N128" s="91"/>
      <c r="O128" s="59"/>
      <c r="P128" s="59"/>
    </row>
    <row r="129">
      <c r="A129" s="20"/>
      <c r="C129" s="20"/>
      <c r="D129" s="92"/>
      <c r="E129" s="93"/>
      <c r="F129" s="94"/>
      <c r="G129" s="8"/>
      <c r="I129" s="59"/>
      <c r="J129" s="20"/>
      <c r="L129" s="20"/>
      <c r="N129" s="91"/>
      <c r="O129" s="59"/>
      <c r="P129" s="59"/>
    </row>
    <row r="130">
      <c r="A130" s="20"/>
      <c r="C130" s="20"/>
      <c r="D130" s="92"/>
      <c r="E130" s="93"/>
      <c r="F130" s="94"/>
      <c r="G130" s="8"/>
      <c r="I130" s="59"/>
      <c r="J130" s="20"/>
      <c r="L130" s="20"/>
      <c r="N130" s="91"/>
      <c r="O130" s="59"/>
      <c r="P130" s="59"/>
    </row>
    <row r="131">
      <c r="A131" s="20"/>
      <c r="C131" s="20"/>
      <c r="D131" s="92"/>
      <c r="E131" s="93"/>
      <c r="F131" s="94"/>
      <c r="G131" s="8"/>
      <c r="I131" s="59"/>
      <c r="J131" s="20"/>
      <c r="L131" s="20"/>
      <c r="N131" s="91"/>
      <c r="O131" s="59"/>
      <c r="P131" s="59"/>
    </row>
    <row r="132">
      <c r="A132" s="20"/>
      <c r="C132" s="20"/>
      <c r="D132" s="92"/>
      <c r="E132" s="93"/>
      <c r="F132" s="94"/>
      <c r="G132" s="8"/>
      <c r="I132" s="59"/>
      <c r="J132" s="20"/>
      <c r="L132" s="20"/>
      <c r="N132" s="91"/>
      <c r="O132" s="59"/>
      <c r="P132" s="59"/>
    </row>
    <row r="133">
      <c r="A133" s="20"/>
      <c r="C133" s="20"/>
      <c r="D133" s="92"/>
      <c r="E133" s="93"/>
      <c r="F133" s="94"/>
      <c r="G133" s="8"/>
      <c r="I133" s="59"/>
      <c r="J133" s="20"/>
      <c r="L133" s="20"/>
      <c r="N133" s="91"/>
      <c r="O133" s="59"/>
      <c r="P133" s="59"/>
    </row>
    <row r="134">
      <c r="A134" s="20"/>
      <c r="C134" s="20"/>
      <c r="D134" s="92"/>
      <c r="E134" s="93"/>
      <c r="F134" s="94"/>
      <c r="G134" s="8"/>
      <c r="I134" s="59"/>
      <c r="J134" s="20"/>
      <c r="L134" s="20"/>
      <c r="N134" s="91"/>
      <c r="O134" s="59"/>
      <c r="P134" s="59"/>
    </row>
    <row r="135">
      <c r="A135" s="20"/>
      <c r="C135" s="20"/>
      <c r="D135" s="92"/>
      <c r="E135" s="93"/>
      <c r="F135" s="94"/>
      <c r="G135" s="8"/>
      <c r="I135" s="59"/>
      <c r="J135" s="20"/>
      <c r="L135" s="20"/>
      <c r="N135" s="91"/>
      <c r="O135" s="59"/>
      <c r="P135" s="59"/>
    </row>
    <row r="136">
      <c r="A136" s="20"/>
      <c r="C136" s="20"/>
      <c r="D136" s="92"/>
      <c r="E136" s="93"/>
      <c r="F136" s="94"/>
      <c r="G136" s="8"/>
      <c r="I136" s="59"/>
      <c r="J136" s="20"/>
      <c r="L136" s="20"/>
      <c r="N136" s="91"/>
      <c r="O136" s="59"/>
      <c r="P136" s="59"/>
    </row>
    <row r="137">
      <c r="A137" s="20"/>
      <c r="C137" s="20"/>
      <c r="D137" s="92"/>
      <c r="E137" s="93"/>
      <c r="F137" s="94"/>
      <c r="G137" s="8"/>
      <c r="I137" s="59"/>
      <c r="J137" s="20"/>
      <c r="L137" s="20"/>
      <c r="N137" s="91"/>
      <c r="O137" s="59"/>
      <c r="P137" s="59"/>
    </row>
    <row r="138">
      <c r="A138" s="20"/>
      <c r="C138" s="20"/>
      <c r="D138" s="92"/>
      <c r="E138" s="93"/>
      <c r="F138" s="94"/>
      <c r="G138" s="8"/>
      <c r="I138" s="59"/>
      <c r="J138" s="20"/>
      <c r="L138" s="20"/>
      <c r="N138" s="91"/>
      <c r="O138" s="59"/>
      <c r="P138" s="59"/>
    </row>
    <row r="139">
      <c r="A139" s="20"/>
      <c r="C139" s="20"/>
      <c r="D139" s="92"/>
      <c r="E139" s="93"/>
      <c r="F139" s="94"/>
      <c r="G139" s="8"/>
      <c r="I139" s="59"/>
      <c r="J139" s="20"/>
      <c r="L139" s="20"/>
      <c r="N139" s="91"/>
      <c r="O139" s="59"/>
      <c r="P139" s="59"/>
    </row>
    <row r="140">
      <c r="A140" s="20"/>
      <c r="C140" s="20"/>
      <c r="D140" s="92"/>
      <c r="E140" s="93"/>
      <c r="F140" s="94"/>
      <c r="G140" s="8"/>
      <c r="I140" s="59"/>
      <c r="J140" s="20"/>
      <c r="L140" s="20"/>
      <c r="N140" s="91"/>
      <c r="O140" s="59"/>
      <c r="P140" s="59"/>
    </row>
    <row r="141">
      <c r="A141" s="20"/>
      <c r="C141" s="20"/>
      <c r="D141" s="92"/>
      <c r="E141" s="93"/>
      <c r="F141" s="94"/>
      <c r="G141" s="8"/>
      <c r="I141" s="59"/>
      <c r="J141" s="20"/>
      <c r="L141" s="20"/>
      <c r="N141" s="91"/>
      <c r="O141" s="59"/>
      <c r="P141" s="59"/>
    </row>
    <row r="142">
      <c r="A142" s="20"/>
      <c r="C142" s="20"/>
      <c r="D142" s="92"/>
      <c r="E142" s="93"/>
      <c r="F142" s="94"/>
      <c r="G142" s="8"/>
      <c r="I142" s="59"/>
      <c r="J142" s="20"/>
      <c r="L142" s="20"/>
      <c r="N142" s="91"/>
      <c r="O142" s="59"/>
      <c r="P142" s="59"/>
    </row>
    <row r="143">
      <c r="A143" s="20"/>
      <c r="C143" s="20"/>
      <c r="D143" s="92"/>
      <c r="E143" s="93"/>
      <c r="F143" s="94"/>
      <c r="G143" s="8"/>
      <c r="I143" s="59"/>
      <c r="J143" s="20"/>
      <c r="L143" s="20"/>
      <c r="N143" s="91"/>
      <c r="O143" s="59"/>
      <c r="P143" s="59"/>
    </row>
    <row r="144">
      <c r="A144" s="20"/>
      <c r="C144" s="20"/>
      <c r="D144" s="92"/>
      <c r="E144" s="93"/>
      <c r="F144" s="94"/>
      <c r="G144" s="8"/>
      <c r="I144" s="59"/>
      <c r="J144" s="20"/>
      <c r="L144" s="20"/>
      <c r="N144" s="91"/>
      <c r="O144" s="59"/>
      <c r="P144" s="59"/>
    </row>
    <row r="145">
      <c r="A145" s="20"/>
      <c r="C145" s="20"/>
      <c r="D145" s="92"/>
      <c r="E145" s="93"/>
      <c r="F145" s="94"/>
      <c r="G145" s="8"/>
      <c r="I145" s="59"/>
      <c r="J145" s="20"/>
      <c r="L145" s="20"/>
      <c r="N145" s="91"/>
      <c r="O145" s="59"/>
      <c r="P145" s="59"/>
    </row>
    <row r="146">
      <c r="A146" s="20"/>
      <c r="C146" s="20"/>
      <c r="D146" s="92"/>
      <c r="E146" s="93"/>
      <c r="F146" s="94"/>
      <c r="G146" s="8"/>
      <c r="I146" s="59"/>
      <c r="J146" s="20"/>
      <c r="L146" s="20"/>
      <c r="N146" s="91"/>
      <c r="O146" s="59"/>
      <c r="P146" s="59"/>
    </row>
    <row r="147">
      <c r="A147" s="20"/>
      <c r="C147" s="20"/>
      <c r="D147" s="92"/>
      <c r="E147" s="93"/>
      <c r="F147" s="94"/>
      <c r="G147" s="8"/>
      <c r="I147" s="59"/>
      <c r="J147" s="20"/>
      <c r="L147" s="20"/>
      <c r="N147" s="91"/>
      <c r="O147" s="59"/>
      <c r="P147" s="59"/>
    </row>
    <row r="148">
      <c r="A148" s="20"/>
      <c r="C148" s="20"/>
      <c r="D148" s="92"/>
      <c r="E148" s="93"/>
      <c r="F148" s="94"/>
      <c r="G148" s="8"/>
      <c r="I148" s="59"/>
      <c r="J148" s="20"/>
      <c r="L148" s="20"/>
      <c r="N148" s="91"/>
      <c r="O148" s="59"/>
      <c r="P148" s="59"/>
    </row>
    <row r="149">
      <c r="A149" s="20"/>
      <c r="C149" s="20"/>
      <c r="D149" s="92"/>
      <c r="E149" s="93"/>
      <c r="F149" s="94"/>
      <c r="G149" s="8"/>
      <c r="I149" s="59"/>
      <c r="J149" s="20"/>
      <c r="L149" s="20"/>
      <c r="N149" s="91"/>
      <c r="O149" s="59"/>
      <c r="P149" s="59"/>
    </row>
    <row r="150">
      <c r="A150" s="20"/>
      <c r="C150" s="20"/>
      <c r="D150" s="92"/>
      <c r="E150" s="93"/>
      <c r="F150" s="94"/>
      <c r="G150" s="8"/>
      <c r="I150" s="59"/>
      <c r="J150" s="20"/>
      <c r="L150" s="20"/>
      <c r="N150" s="91"/>
      <c r="O150" s="59"/>
      <c r="P150" s="59"/>
    </row>
    <row r="151">
      <c r="A151" s="20"/>
      <c r="C151" s="20"/>
      <c r="D151" s="92"/>
      <c r="E151" s="93"/>
      <c r="F151" s="94"/>
      <c r="G151" s="8"/>
      <c r="I151" s="59"/>
      <c r="J151" s="20"/>
      <c r="L151" s="20"/>
      <c r="N151" s="91"/>
      <c r="O151" s="59"/>
      <c r="P151" s="59"/>
    </row>
    <row r="152">
      <c r="A152" s="20"/>
      <c r="C152" s="20"/>
      <c r="D152" s="92"/>
      <c r="E152" s="93"/>
      <c r="F152" s="94"/>
      <c r="G152" s="8"/>
      <c r="I152" s="59"/>
      <c r="J152" s="20"/>
      <c r="L152" s="20"/>
      <c r="N152" s="91"/>
      <c r="O152" s="59"/>
      <c r="P152" s="59"/>
    </row>
    <row r="153">
      <c r="A153" s="20"/>
      <c r="C153" s="20"/>
      <c r="D153" s="92"/>
      <c r="E153" s="93"/>
      <c r="F153" s="94"/>
      <c r="G153" s="8"/>
      <c r="I153" s="59"/>
      <c r="J153" s="20"/>
      <c r="L153" s="20"/>
      <c r="N153" s="91"/>
      <c r="O153" s="59"/>
      <c r="P153" s="59"/>
    </row>
    <row r="154">
      <c r="A154" s="20"/>
      <c r="C154" s="20"/>
      <c r="D154" s="92"/>
      <c r="E154" s="93"/>
      <c r="F154" s="94"/>
      <c r="G154" s="8"/>
      <c r="I154" s="59"/>
      <c r="J154" s="20"/>
      <c r="L154" s="20"/>
      <c r="N154" s="91"/>
      <c r="O154" s="59"/>
      <c r="P154" s="59"/>
    </row>
    <row r="155">
      <c r="A155" s="20"/>
      <c r="C155" s="20"/>
      <c r="D155" s="92"/>
      <c r="E155" s="93"/>
      <c r="F155" s="94"/>
      <c r="G155" s="8"/>
      <c r="I155" s="59"/>
      <c r="J155" s="20"/>
      <c r="L155" s="20"/>
      <c r="N155" s="91"/>
      <c r="O155" s="59"/>
      <c r="P155" s="59"/>
    </row>
    <row r="156">
      <c r="A156" s="20"/>
      <c r="C156" s="20"/>
      <c r="D156" s="92"/>
      <c r="E156" s="93"/>
      <c r="F156" s="94"/>
      <c r="G156" s="8"/>
      <c r="I156" s="59"/>
      <c r="J156" s="20"/>
      <c r="L156" s="20"/>
      <c r="N156" s="91"/>
      <c r="O156" s="59"/>
      <c r="P156" s="59"/>
    </row>
    <row r="157">
      <c r="A157" s="20"/>
      <c r="C157" s="20"/>
      <c r="D157" s="92"/>
      <c r="E157" s="93"/>
      <c r="F157" s="94"/>
      <c r="G157" s="8"/>
      <c r="I157" s="59"/>
      <c r="J157" s="20"/>
      <c r="L157" s="20"/>
      <c r="N157" s="91"/>
      <c r="O157" s="59"/>
      <c r="P157" s="59"/>
    </row>
    <row r="158">
      <c r="A158" s="20"/>
      <c r="C158" s="20"/>
      <c r="D158" s="92"/>
      <c r="E158" s="93"/>
      <c r="F158" s="94"/>
      <c r="G158" s="8"/>
      <c r="I158" s="59"/>
      <c r="J158" s="20"/>
      <c r="L158" s="20"/>
      <c r="N158" s="91"/>
      <c r="O158" s="59"/>
      <c r="P158" s="59"/>
    </row>
    <row r="159">
      <c r="A159" s="20"/>
      <c r="C159" s="20"/>
      <c r="D159" s="92"/>
      <c r="E159" s="93"/>
      <c r="F159" s="94"/>
      <c r="G159" s="8"/>
      <c r="I159" s="59"/>
      <c r="J159" s="20"/>
      <c r="L159" s="20"/>
      <c r="N159" s="91"/>
      <c r="O159" s="59"/>
      <c r="P159" s="59"/>
    </row>
    <row r="160">
      <c r="A160" s="20"/>
      <c r="C160" s="20"/>
      <c r="D160" s="92"/>
      <c r="E160" s="93"/>
      <c r="F160" s="94"/>
      <c r="G160" s="8"/>
      <c r="I160" s="59"/>
      <c r="J160" s="20"/>
      <c r="L160" s="20"/>
      <c r="N160" s="91"/>
      <c r="O160" s="59"/>
      <c r="P160" s="59"/>
    </row>
    <row r="161">
      <c r="A161" s="20"/>
      <c r="C161" s="20"/>
      <c r="D161" s="92"/>
      <c r="E161" s="93"/>
      <c r="F161" s="94"/>
      <c r="G161" s="8"/>
      <c r="I161" s="59"/>
      <c r="J161" s="20"/>
      <c r="L161" s="20"/>
      <c r="N161" s="91"/>
      <c r="O161" s="59"/>
      <c r="P161" s="59"/>
    </row>
    <row r="162">
      <c r="A162" s="20"/>
      <c r="C162" s="20"/>
      <c r="D162" s="92"/>
      <c r="E162" s="93"/>
      <c r="F162" s="94"/>
      <c r="G162" s="8"/>
      <c r="I162" s="59"/>
      <c r="J162" s="20"/>
      <c r="L162" s="20"/>
      <c r="N162" s="91"/>
      <c r="O162" s="59"/>
      <c r="P162" s="59"/>
    </row>
    <row r="163">
      <c r="A163" s="20"/>
      <c r="C163" s="20"/>
      <c r="D163" s="92"/>
      <c r="E163" s="93"/>
      <c r="F163" s="94"/>
      <c r="G163" s="8"/>
      <c r="I163" s="59"/>
      <c r="J163" s="20"/>
      <c r="L163" s="20"/>
      <c r="N163" s="91"/>
      <c r="O163" s="59"/>
      <c r="P163" s="59"/>
    </row>
    <row r="164">
      <c r="A164" s="20"/>
      <c r="C164" s="20"/>
      <c r="D164" s="92"/>
      <c r="E164" s="93"/>
      <c r="F164" s="94"/>
      <c r="G164" s="8"/>
      <c r="I164" s="59"/>
      <c r="J164" s="20"/>
      <c r="L164" s="20"/>
      <c r="N164" s="91"/>
      <c r="O164" s="59"/>
      <c r="P164" s="59"/>
    </row>
    <row r="165">
      <c r="A165" s="20"/>
      <c r="C165" s="20"/>
      <c r="D165" s="92"/>
      <c r="E165" s="93"/>
      <c r="F165" s="94"/>
      <c r="G165" s="8"/>
      <c r="I165" s="59"/>
      <c r="J165" s="20"/>
      <c r="L165" s="20"/>
      <c r="N165" s="91"/>
      <c r="O165" s="59"/>
      <c r="P165" s="59"/>
    </row>
    <row r="166">
      <c r="A166" s="20"/>
      <c r="C166" s="20"/>
      <c r="D166" s="92"/>
      <c r="E166" s="93"/>
      <c r="F166" s="94"/>
      <c r="G166" s="8"/>
      <c r="I166" s="59"/>
      <c r="J166" s="20"/>
      <c r="L166" s="20"/>
      <c r="N166" s="91"/>
      <c r="O166" s="59"/>
      <c r="P166" s="59"/>
    </row>
    <row r="167">
      <c r="A167" s="20"/>
      <c r="C167" s="20"/>
      <c r="D167" s="92"/>
      <c r="E167" s="93"/>
      <c r="F167" s="94"/>
      <c r="G167" s="8"/>
      <c r="I167" s="59"/>
      <c r="J167" s="20"/>
      <c r="L167" s="20"/>
      <c r="N167" s="91"/>
      <c r="O167" s="59"/>
      <c r="P167" s="59"/>
    </row>
    <row r="168">
      <c r="A168" s="20"/>
      <c r="C168" s="20"/>
      <c r="D168" s="92"/>
      <c r="E168" s="93"/>
      <c r="F168" s="94"/>
      <c r="G168" s="8"/>
      <c r="I168" s="59"/>
      <c r="J168" s="20"/>
      <c r="L168" s="20"/>
      <c r="N168" s="91"/>
      <c r="O168" s="59"/>
      <c r="P168" s="59"/>
    </row>
    <row r="169">
      <c r="A169" s="20"/>
      <c r="C169" s="20"/>
      <c r="D169" s="92"/>
      <c r="E169" s="93"/>
      <c r="F169" s="94"/>
      <c r="G169" s="8"/>
      <c r="I169" s="59"/>
      <c r="J169" s="20"/>
      <c r="L169" s="20"/>
      <c r="N169" s="91"/>
      <c r="O169" s="59"/>
      <c r="P169" s="59"/>
    </row>
    <row r="170">
      <c r="A170" s="20"/>
      <c r="C170" s="20"/>
      <c r="D170" s="92"/>
      <c r="E170" s="93"/>
      <c r="F170" s="94"/>
      <c r="G170" s="8"/>
      <c r="I170" s="59"/>
      <c r="J170" s="20"/>
      <c r="L170" s="20"/>
      <c r="N170" s="91"/>
      <c r="O170" s="59"/>
      <c r="P170" s="59"/>
    </row>
    <row r="171">
      <c r="A171" s="20"/>
      <c r="C171" s="20"/>
      <c r="D171" s="92"/>
      <c r="E171" s="93"/>
      <c r="F171" s="94"/>
      <c r="G171" s="8"/>
      <c r="I171" s="59"/>
      <c r="J171" s="20"/>
      <c r="L171" s="20"/>
      <c r="N171" s="91"/>
      <c r="O171" s="59"/>
      <c r="P171" s="59"/>
    </row>
    <row r="172">
      <c r="A172" s="20"/>
      <c r="C172" s="20"/>
      <c r="D172" s="92"/>
      <c r="E172" s="93"/>
      <c r="F172" s="94"/>
      <c r="G172" s="8"/>
      <c r="I172" s="59"/>
      <c r="J172" s="20"/>
      <c r="L172" s="20"/>
      <c r="N172" s="91"/>
      <c r="O172" s="59"/>
      <c r="P172" s="59"/>
    </row>
    <row r="173">
      <c r="A173" s="20"/>
      <c r="C173" s="20"/>
      <c r="D173" s="92"/>
      <c r="E173" s="93"/>
      <c r="F173" s="94"/>
      <c r="G173" s="8"/>
      <c r="I173" s="59"/>
      <c r="J173" s="20"/>
      <c r="L173" s="20"/>
      <c r="N173" s="91"/>
      <c r="O173" s="59"/>
      <c r="P173" s="59"/>
    </row>
    <row r="174">
      <c r="A174" s="20"/>
      <c r="C174" s="20"/>
      <c r="D174" s="92"/>
      <c r="E174" s="93"/>
      <c r="F174" s="94"/>
      <c r="G174" s="8"/>
      <c r="I174" s="59"/>
      <c r="J174" s="20"/>
      <c r="L174" s="20"/>
      <c r="N174" s="91"/>
      <c r="O174" s="59"/>
      <c r="P174" s="59"/>
    </row>
    <row r="175">
      <c r="A175" s="20"/>
      <c r="C175" s="20"/>
      <c r="D175" s="92"/>
      <c r="E175" s="93"/>
      <c r="F175" s="94"/>
      <c r="G175" s="8"/>
      <c r="I175" s="59"/>
      <c r="J175" s="20"/>
      <c r="L175" s="20"/>
      <c r="N175" s="91"/>
      <c r="O175" s="59"/>
      <c r="P175" s="59"/>
    </row>
    <row r="176">
      <c r="A176" s="20"/>
      <c r="C176" s="20"/>
      <c r="D176" s="92"/>
      <c r="E176" s="93"/>
      <c r="F176" s="94"/>
      <c r="G176" s="8"/>
      <c r="I176" s="59"/>
      <c r="J176" s="20"/>
      <c r="L176" s="20"/>
      <c r="N176" s="91"/>
      <c r="O176" s="59"/>
      <c r="P176" s="59"/>
    </row>
    <row r="177">
      <c r="A177" s="20"/>
      <c r="C177" s="20"/>
      <c r="D177" s="92"/>
      <c r="E177" s="93"/>
      <c r="F177" s="94"/>
      <c r="G177" s="8"/>
      <c r="I177" s="59"/>
      <c r="J177" s="20"/>
      <c r="L177" s="20"/>
      <c r="N177" s="91"/>
      <c r="O177" s="59"/>
      <c r="P177" s="59"/>
    </row>
    <row r="178">
      <c r="A178" s="20"/>
      <c r="C178" s="20"/>
      <c r="D178" s="92"/>
      <c r="E178" s="93"/>
      <c r="F178" s="94"/>
      <c r="G178" s="8"/>
      <c r="I178" s="59"/>
      <c r="J178" s="20"/>
      <c r="L178" s="20"/>
      <c r="N178" s="91"/>
      <c r="O178" s="59"/>
      <c r="P178" s="59"/>
    </row>
    <row r="179">
      <c r="A179" s="20"/>
      <c r="C179" s="20"/>
      <c r="D179" s="92"/>
      <c r="E179" s="93"/>
      <c r="F179" s="94"/>
      <c r="G179" s="8"/>
      <c r="I179" s="59"/>
      <c r="J179" s="20"/>
      <c r="L179" s="20"/>
      <c r="N179" s="91"/>
      <c r="O179" s="59"/>
      <c r="P179" s="59"/>
    </row>
    <row r="180">
      <c r="A180" s="20"/>
      <c r="C180" s="20"/>
      <c r="D180" s="92"/>
      <c r="E180" s="93"/>
      <c r="F180" s="94"/>
      <c r="G180" s="8"/>
      <c r="I180" s="59"/>
      <c r="J180" s="20"/>
      <c r="L180" s="20"/>
      <c r="N180" s="91"/>
      <c r="O180" s="59"/>
      <c r="P180" s="59"/>
    </row>
    <row r="181">
      <c r="A181" s="20"/>
      <c r="C181" s="20"/>
      <c r="D181" s="92"/>
      <c r="E181" s="93"/>
      <c r="F181" s="94"/>
      <c r="G181" s="8"/>
      <c r="I181" s="59"/>
      <c r="J181" s="20"/>
      <c r="L181" s="20"/>
      <c r="N181" s="91"/>
      <c r="O181" s="59"/>
      <c r="P181" s="59"/>
    </row>
    <row r="182">
      <c r="A182" s="20"/>
      <c r="C182" s="20"/>
      <c r="D182" s="92"/>
      <c r="E182" s="93"/>
      <c r="F182" s="94"/>
      <c r="G182" s="8"/>
      <c r="I182" s="59"/>
      <c r="J182" s="20"/>
      <c r="L182" s="20"/>
      <c r="N182" s="91"/>
      <c r="O182" s="59"/>
      <c r="P182" s="59"/>
    </row>
    <row r="183">
      <c r="A183" s="20"/>
      <c r="C183" s="20"/>
      <c r="D183" s="92"/>
      <c r="E183" s="93"/>
      <c r="F183" s="94"/>
      <c r="G183" s="8"/>
      <c r="I183" s="59"/>
      <c r="J183" s="20"/>
      <c r="L183" s="20"/>
      <c r="N183" s="91"/>
      <c r="O183" s="59"/>
      <c r="P183" s="59"/>
    </row>
    <row r="184">
      <c r="A184" s="20"/>
      <c r="C184" s="20"/>
      <c r="D184" s="92"/>
      <c r="E184" s="93"/>
      <c r="F184" s="94"/>
      <c r="G184" s="8"/>
      <c r="I184" s="59"/>
      <c r="J184" s="20"/>
      <c r="L184" s="20"/>
      <c r="N184" s="91"/>
      <c r="O184" s="59"/>
      <c r="P184" s="59"/>
    </row>
    <row r="185">
      <c r="A185" s="20"/>
      <c r="C185" s="20"/>
      <c r="D185" s="92"/>
      <c r="E185" s="93"/>
      <c r="F185" s="94"/>
      <c r="G185" s="8"/>
      <c r="I185" s="59"/>
      <c r="J185" s="20"/>
      <c r="L185" s="20"/>
      <c r="N185" s="91"/>
      <c r="O185" s="59"/>
      <c r="P185" s="59"/>
    </row>
    <row r="186">
      <c r="A186" s="20"/>
      <c r="C186" s="20"/>
      <c r="D186" s="92"/>
      <c r="E186" s="93"/>
      <c r="F186" s="94"/>
      <c r="G186" s="8"/>
      <c r="I186" s="59"/>
      <c r="J186" s="20"/>
      <c r="L186" s="20"/>
      <c r="N186" s="91"/>
      <c r="O186" s="59"/>
      <c r="P186" s="59"/>
    </row>
    <row r="187">
      <c r="A187" s="20"/>
      <c r="C187" s="20"/>
      <c r="D187" s="92"/>
      <c r="E187" s="93"/>
      <c r="F187" s="94"/>
      <c r="G187" s="8"/>
      <c r="I187" s="59"/>
      <c r="J187" s="20"/>
      <c r="L187" s="20"/>
      <c r="N187" s="91"/>
      <c r="O187" s="59"/>
      <c r="P187" s="59"/>
    </row>
    <row r="188">
      <c r="A188" s="20"/>
      <c r="C188" s="20"/>
      <c r="D188" s="92"/>
      <c r="E188" s="93"/>
      <c r="F188" s="94"/>
      <c r="G188" s="8"/>
      <c r="I188" s="59"/>
      <c r="J188" s="20"/>
      <c r="L188" s="20"/>
      <c r="N188" s="91"/>
      <c r="O188" s="59"/>
      <c r="P188" s="59"/>
    </row>
    <row r="189">
      <c r="A189" s="20"/>
      <c r="C189" s="20"/>
      <c r="D189" s="92"/>
      <c r="E189" s="93"/>
      <c r="F189" s="94"/>
      <c r="G189" s="8"/>
      <c r="I189" s="59"/>
      <c r="J189" s="20"/>
      <c r="L189" s="20"/>
      <c r="N189" s="91"/>
      <c r="O189" s="59"/>
      <c r="P189" s="59"/>
    </row>
    <row r="190">
      <c r="A190" s="20"/>
      <c r="C190" s="20"/>
      <c r="D190" s="92"/>
      <c r="E190" s="93"/>
      <c r="F190" s="94"/>
      <c r="G190" s="8"/>
      <c r="I190" s="59"/>
      <c r="J190" s="20"/>
      <c r="L190" s="20"/>
      <c r="N190" s="91"/>
      <c r="O190" s="59"/>
      <c r="P190" s="59"/>
    </row>
    <row r="191">
      <c r="A191" s="20"/>
      <c r="C191" s="20"/>
      <c r="D191" s="92"/>
      <c r="E191" s="93"/>
      <c r="F191" s="94"/>
      <c r="G191" s="8"/>
      <c r="I191" s="59"/>
      <c r="J191" s="20"/>
      <c r="L191" s="20"/>
      <c r="N191" s="91"/>
      <c r="O191" s="59"/>
      <c r="P191" s="59"/>
    </row>
    <row r="192">
      <c r="A192" s="20"/>
      <c r="C192" s="20"/>
      <c r="D192" s="92"/>
      <c r="E192" s="93"/>
      <c r="F192" s="94"/>
      <c r="G192" s="8"/>
      <c r="I192" s="59"/>
      <c r="J192" s="20"/>
      <c r="L192" s="20"/>
      <c r="N192" s="91"/>
      <c r="O192" s="59"/>
      <c r="P192" s="59"/>
    </row>
    <row r="193">
      <c r="A193" s="20"/>
      <c r="C193" s="20"/>
      <c r="D193" s="92"/>
      <c r="E193" s="93"/>
      <c r="F193" s="94"/>
      <c r="G193" s="8"/>
      <c r="I193" s="59"/>
      <c r="J193" s="20"/>
      <c r="L193" s="20"/>
      <c r="N193" s="91"/>
      <c r="O193" s="59"/>
      <c r="P193" s="59"/>
    </row>
    <row r="194">
      <c r="A194" s="20"/>
      <c r="C194" s="20"/>
      <c r="D194" s="92"/>
      <c r="E194" s="93"/>
      <c r="F194" s="94"/>
      <c r="G194" s="8"/>
      <c r="I194" s="59"/>
      <c r="J194" s="20"/>
      <c r="L194" s="20"/>
      <c r="N194" s="91"/>
      <c r="O194" s="59"/>
      <c r="P194" s="59"/>
    </row>
    <row r="195">
      <c r="A195" s="20"/>
      <c r="C195" s="20"/>
      <c r="D195" s="92"/>
      <c r="E195" s="93"/>
      <c r="F195" s="94"/>
      <c r="G195" s="8"/>
      <c r="I195" s="59"/>
      <c r="J195" s="20"/>
      <c r="L195" s="20"/>
      <c r="N195" s="91"/>
      <c r="O195" s="59"/>
      <c r="P195" s="59"/>
    </row>
    <row r="196">
      <c r="A196" s="20"/>
      <c r="C196" s="20"/>
      <c r="D196" s="92"/>
      <c r="E196" s="93"/>
      <c r="F196" s="94"/>
      <c r="G196" s="8"/>
      <c r="I196" s="59"/>
      <c r="J196" s="20"/>
      <c r="L196" s="20"/>
      <c r="N196" s="91"/>
      <c r="O196" s="59"/>
      <c r="P196" s="59"/>
    </row>
    <row r="197">
      <c r="A197" s="20"/>
      <c r="C197" s="20"/>
      <c r="D197" s="92"/>
      <c r="E197" s="93"/>
      <c r="F197" s="94"/>
      <c r="G197" s="8"/>
      <c r="I197" s="59"/>
      <c r="J197" s="20"/>
      <c r="L197" s="20"/>
      <c r="N197" s="91"/>
      <c r="O197" s="59"/>
      <c r="P197" s="59"/>
    </row>
    <row r="198">
      <c r="A198" s="20"/>
      <c r="C198" s="20"/>
      <c r="D198" s="92"/>
      <c r="E198" s="93"/>
      <c r="F198" s="94"/>
      <c r="G198" s="8"/>
      <c r="I198" s="59"/>
      <c r="J198" s="20"/>
      <c r="L198" s="20"/>
      <c r="N198" s="91"/>
      <c r="O198" s="59"/>
      <c r="P198" s="59"/>
    </row>
    <row r="199">
      <c r="A199" s="20"/>
      <c r="C199" s="20"/>
      <c r="D199" s="92"/>
      <c r="E199" s="93"/>
      <c r="F199" s="94"/>
      <c r="G199" s="8"/>
      <c r="I199" s="59"/>
      <c r="J199" s="20"/>
      <c r="L199" s="20"/>
      <c r="N199" s="91"/>
      <c r="O199" s="59"/>
      <c r="P199" s="59"/>
    </row>
    <row r="200">
      <c r="A200" s="20"/>
      <c r="C200" s="20"/>
      <c r="D200" s="92"/>
      <c r="E200" s="93"/>
      <c r="F200" s="94"/>
      <c r="G200" s="8"/>
      <c r="I200" s="59"/>
      <c r="J200" s="20"/>
      <c r="L200" s="20"/>
      <c r="N200" s="91"/>
      <c r="O200" s="59"/>
      <c r="P200" s="59"/>
    </row>
    <row r="201">
      <c r="A201" s="20"/>
      <c r="C201" s="20"/>
      <c r="D201" s="92"/>
      <c r="E201" s="93"/>
      <c r="F201" s="94"/>
      <c r="G201" s="8"/>
      <c r="I201" s="59"/>
      <c r="J201" s="20"/>
      <c r="L201" s="20"/>
      <c r="N201" s="91"/>
      <c r="O201" s="59"/>
      <c r="P201" s="59"/>
    </row>
    <row r="202">
      <c r="A202" s="20"/>
      <c r="C202" s="20"/>
      <c r="D202" s="92"/>
      <c r="E202" s="93"/>
      <c r="F202" s="94"/>
      <c r="G202" s="8"/>
      <c r="I202" s="59"/>
      <c r="J202" s="20"/>
      <c r="L202" s="20"/>
      <c r="N202" s="91"/>
      <c r="O202" s="59"/>
      <c r="P202" s="59"/>
    </row>
    <row r="203">
      <c r="A203" s="20"/>
      <c r="C203" s="20"/>
      <c r="D203" s="92"/>
      <c r="E203" s="93"/>
      <c r="F203" s="94"/>
      <c r="G203" s="8"/>
      <c r="I203" s="59"/>
      <c r="J203" s="20"/>
      <c r="L203" s="20"/>
      <c r="N203" s="91"/>
      <c r="O203" s="59"/>
      <c r="P203" s="59"/>
    </row>
    <row r="204">
      <c r="A204" s="20"/>
      <c r="C204" s="20"/>
      <c r="D204" s="92"/>
      <c r="E204" s="93"/>
      <c r="F204" s="94"/>
      <c r="G204" s="8"/>
      <c r="I204" s="59"/>
      <c r="J204" s="20"/>
      <c r="L204" s="20"/>
      <c r="N204" s="91"/>
      <c r="O204" s="59"/>
      <c r="P204" s="59"/>
    </row>
    <row r="205">
      <c r="A205" s="20"/>
      <c r="C205" s="20"/>
      <c r="D205" s="92"/>
      <c r="E205" s="93"/>
      <c r="F205" s="94"/>
      <c r="G205" s="8"/>
      <c r="I205" s="59"/>
      <c r="J205" s="20"/>
      <c r="L205" s="20"/>
      <c r="N205" s="91"/>
      <c r="O205" s="59"/>
      <c r="P205" s="59"/>
    </row>
    <row r="206">
      <c r="A206" s="20"/>
      <c r="C206" s="20"/>
      <c r="D206" s="92"/>
      <c r="E206" s="93"/>
      <c r="F206" s="94"/>
      <c r="G206" s="8"/>
      <c r="I206" s="59"/>
      <c r="J206" s="20"/>
      <c r="L206" s="20"/>
      <c r="N206" s="91"/>
      <c r="O206" s="59"/>
      <c r="P206" s="59"/>
    </row>
    <row r="207">
      <c r="A207" s="20"/>
      <c r="C207" s="20"/>
      <c r="D207" s="92"/>
      <c r="E207" s="93"/>
      <c r="F207" s="94"/>
      <c r="G207" s="8"/>
      <c r="I207" s="59"/>
      <c r="J207" s="20"/>
      <c r="L207" s="20"/>
      <c r="N207" s="91"/>
      <c r="O207" s="59"/>
      <c r="P207" s="59"/>
    </row>
    <row r="208">
      <c r="A208" s="20"/>
      <c r="C208" s="20"/>
      <c r="D208" s="92"/>
      <c r="E208" s="93"/>
      <c r="F208" s="94"/>
      <c r="G208" s="8"/>
      <c r="I208" s="59"/>
      <c r="J208" s="20"/>
      <c r="L208" s="20"/>
      <c r="N208" s="91"/>
      <c r="O208" s="59"/>
      <c r="P208" s="59"/>
    </row>
    <row r="209">
      <c r="A209" s="20"/>
      <c r="C209" s="20"/>
      <c r="D209" s="92"/>
      <c r="E209" s="93"/>
      <c r="F209" s="94"/>
      <c r="G209" s="8"/>
      <c r="I209" s="59"/>
      <c r="J209" s="20"/>
      <c r="L209" s="20"/>
      <c r="N209" s="91"/>
      <c r="O209" s="59"/>
      <c r="P209" s="59"/>
    </row>
    <row r="210">
      <c r="A210" s="20"/>
      <c r="C210" s="20"/>
      <c r="D210" s="92"/>
      <c r="E210" s="93"/>
      <c r="F210" s="94"/>
      <c r="G210" s="8"/>
      <c r="I210" s="59"/>
      <c r="J210" s="20"/>
      <c r="L210" s="20"/>
      <c r="N210" s="91"/>
      <c r="O210" s="59"/>
      <c r="P210" s="59"/>
    </row>
    <row r="211">
      <c r="A211" s="20"/>
      <c r="C211" s="20"/>
      <c r="D211" s="92"/>
      <c r="E211" s="93"/>
      <c r="F211" s="94"/>
      <c r="G211" s="8"/>
      <c r="I211" s="59"/>
      <c r="J211" s="20"/>
      <c r="L211" s="20"/>
      <c r="N211" s="91"/>
      <c r="O211" s="59"/>
      <c r="P211" s="59"/>
    </row>
    <row r="212">
      <c r="A212" s="20"/>
      <c r="C212" s="20"/>
      <c r="D212" s="92"/>
      <c r="E212" s="93"/>
      <c r="F212" s="94"/>
      <c r="G212" s="8"/>
      <c r="I212" s="59"/>
      <c r="J212" s="20"/>
      <c r="L212" s="20"/>
      <c r="N212" s="91"/>
      <c r="O212" s="59"/>
      <c r="P212" s="59"/>
    </row>
    <row r="213">
      <c r="A213" s="20"/>
      <c r="C213" s="20"/>
      <c r="D213" s="92"/>
      <c r="E213" s="93"/>
      <c r="F213" s="94"/>
      <c r="G213" s="8"/>
      <c r="I213" s="59"/>
      <c r="J213" s="20"/>
      <c r="L213" s="20"/>
      <c r="N213" s="91"/>
      <c r="O213" s="59"/>
      <c r="P213" s="59"/>
    </row>
    <row r="214">
      <c r="A214" s="20"/>
      <c r="C214" s="20"/>
      <c r="D214" s="92"/>
      <c r="E214" s="93"/>
      <c r="F214" s="94"/>
      <c r="G214" s="8"/>
      <c r="I214" s="59"/>
      <c r="J214" s="20"/>
      <c r="L214" s="20"/>
      <c r="N214" s="91"/>
      <c r="O214" s="59"/>
      <c r="P214" s="59"/>
    </row>
    <row r="215">
      <c r="A215" s="20"/>
      <c r="C215" s="20"/>
      <c r="D215" s="92"/>
      <c r="E215" s="93"/>
      <c r="F215" s="94"/>
      <c r="G215" s="8"/>
      <c r="I215" s="59"/>
      <c r="J215" s="20"/>
      <c r="L215" s="20"/>
      <c r="N215" s="91"/>
      <c r="O215" s="59"/>
      <c r="P215" s="59"/>
    </row>
    <row r="216">
      <c r="A216" s="20"/>
      <c r="C216" s="20"/>
      <c r="D216" s="92"/>
      <c r="E216" s="93"/>
      <c r="F216" s="94"/>
      <c r="G216" s="8"/>
      <c r="I216" s="59"/>
      <c r="J216" s="20"/>
      <c r="L216" s="20"/>
      <c r="N216" s="91"/>
      <c r="O216" s="59"/>
      <c r="P216" s="59"/>
    </row>
    <row r="217">
      <c r="A217" s="20"/>
      <c r="C217" s="20"/>
      <c r="D217" s="92"/>
      <c r="E217" s="93"/>
      <c r="F217" s="94"/>
      <c r="G217" s="8"/>
      <c r="I217" s="59"/>
      <c r="J217" s="20"/>
      <c r="L217" s="20"/>
      <c r="N217" s="91"/>
      <c r="O217" s="59"/>
      <c r="P217" s="59"/>
    </row>
    <row r="218">
      <c r="A218" s="20"/>
      <c r="C218" s="20"/>
      <c r="D218" s="92"/>
      <c r="E218" s="93"/>
      <c r="F218" s="94"/>
      <c r="G218" s="8"/>
      <c r="I218" s="59"/>
      <c r="J218" s="20"/>
      <c r="L218" s="20"/>
      <c r="N218" s="91"/>
      <c r="O218" s="59"/>
      <c r="P218" s="59"/>
    </row>
    <row r="219">
      <c r="A219" s="20"/>
      <c r="C219" s="20"/>
      <c r="D219" s="92"/>
      <c r="E219" s="93"/>
      <c r="F219" s="94"/>
      <c r="G219" s="8"/>
      <c r="I219" s="59"/>
      <c r="J219" s="20"/>
      <c r="L219" s="20"/>
      <c r="N219" s="91"/>
      <c r="O219" s="59"/>
      <c r="P219" s="59"/>
    </row>
    <row r="220">
      <c r="A220" s="20"/>
      <c r="C220" s="20"/>
      <c r="D220" s="92"/>
      <c r="E220" s="93"/>
      <c r="F220" s="94"/>
      <c r="G220" s="8"/>
      <c r="I220" s="59"/>
      <c r="J220" s="20"/>
      <c r="L220" s="20"/>
      <c r="N220" s="91"/>
      <c r="O220" s="59"/>
      <c r="P220" s="59"/>
    </row>
    <row r="221">
      <c r="A221" s="20"/>
      <c r="C221" s="20"/>
      <c r="D221" s="92"/>
      <c r="E221" s="93"/>
      <c r="F221" s="94"/>
      <c r="G221" s="8"/>
      <c r="I221" s="59"/>
      <c r="J221" s="20"/>
      <c r="L221" s="20"/>
      <c r="N221" s="91"/>
      <c r="O221" s="59"/>
      <c r="P221" s="59"/>
    </row>
    <row r="222">
      <c r="A222" s="20"/>
      <c r="C222" s="20"/>
      <c r="D222" s="92"/>
      <c r="E222" s="93"/>
      <c r="F222" s="94"/>
      <c r="G222" s="8"/>
      <c r="I222" s="59"/>
      <c r="J222" s="20"/>
      <c r="L222" s="20"/>
      <c r="N222" s="91"/>
      <c r="O222" s="59"/>
      <c r="P222" s="59"/>
    </row>
    <row r="223">
      <c r="A223" s="20"/>
      <c r="C223" s="20"/>
      <c r="D223" s="92"/>
      <c r="E223" s="93"/>
      <c r="F223" s="94"/>
      <c r="G223" s="8"/>
      <c r="I223" s="59"/>
      <c r="J223" s="20"/>
      <c r="L223" s="20"/>
      <c r="N223" s="91"/>
      <c r="O223" s="59"/>
      <c r="P223" s="59"/>
    </row>
    <row r="224">
      <c r="A224" s="20"/>
      <c r="C224" s="20"/>
      <c r="D224" s="92"/>
      <c r="E224" s="93"/>
      <c r="F224" s="94"/>
      <c r="G224" s="8"/>
      <c r="I224" s="59"/>
      <c r="J224" s="20"/>
      <c r="L224" s="20"/>
      <c r="N224" s="91"/>
      <c r="O224" s="59"/>
      <c r="P224" s="59"/>
    </row>
    <row r="225">
      <c r="A225" s="20"/>
      <c r="C225" s="20"/>
      <c r="D225" s="92"/>
      <c r="E225" s="93"/>
      <c r="F225" s="94"/>
      <c r="G225" s="8"/>
      <c r="I225" s="59"/>
      <c r="J225" s="20"/>
      <c r="L225" s="20"/>
      <c r="N225" s="91"/>
      <c r="O225" s="59"/>
      <c r="P225" s="59"/>
    </row>
    <row r="226">
      <c r="A226" s="20"/>
      <c r="C226" s="20"/>
      <c r="D226" s="92"/>
      <c r="E226" s="93"/>
      <c r="F226" s="94"/>
      <c r="G226" s="8"/>
      <c r="I226" s="59"/>
      <c r="J226" s="20"/>
      <c r="L226" s="20"/>
      <c r="N226" s="91"/>
      <c r="O226" s="59"/>
      <c r="P226" s="59"/>
    </row>
    <row r="227">
      <c r="A227" s="20"/>
      <c r="C227" s="20"/>
      <c r="D227" s="92"/>
      <c r="E227" s="93"/>
      <c r="F227" s="94"/>
      <c r="G227" s="8"/>
      <c r="I227" s="59"/>
      <c r="J227" s="20"/>
      <c r="L227" s="20"/>
      <c r="N227" s="91"/>
      <c r="O227" s="59"/>
      <c r="P227" s="59"/>
    </row>
    <row r="228">
      <c r="A228" s="20"/>
      <c r="C228" s="20"/>
      <c r="D228" s="92"/>
      <c r="E228" s="93"/>
      <c r="F228" s="94"/>
      <c r="G228" s="8"/>
      <c r="I228" s="59"/>
      <c r="J228" s="20"/>
      <c r="L228" s="20"/>
      <c r="N228" s="91"/>
      <c r="O228" s="59"/>
      <c r="P228" s="59"/>
    </row>
    <row r="229">
      <c r="A229" s="20"/>
      <c r="C229" s="20"/>
      <c r="D229" s="92"/>
      <c r="E229" s="93"/>
      <c r="F229" s="94"/>
      <c r="G229" s="8"/>
      <c r="I229" s="59"/>
      <c r="J229" s="20"/>
      <c r="L229" s="20"/>
      <c r="N229" s="91"/>
      <c r="O229" s="59"/>
      <c r="P229" s="59"/>
    </row>
    <row r="230">
      <c r="A230" s="20"/>
      <c r="C230" s="20"/>
      <c r="D230" s="92"/>
      <c r="E230" s="93"/>
      <c r="F230" s="94"/>
      <c r="G230" s="8"/>
      <c r="I230" s="59"/>
      <c r="J230" s="20"/>
      <c r="L230" s="20"/>
      <c r="N230" s="91"/>
      <c r="O230" s="59"/>
      <c r="P230" s="59"/>
    </row>
    <row r="231">
      <c r="A231" s="20"/>
      <c r="C231" s="20"/>
      <c r="D231" s="92"/>
      <c r="E231" s="93"/>
      <c r="F231" s="94"/>
      <c r="G231" s="8"/>
      <c r="I231" s="59"/>
      <c r="J231" s="20"/>
      <c r="L231" s="20"/>
      <c r="N231" s="91"/>
      <c r="O231" s="59"/>
      <c r="P231" s="59"/>
    </row>
    <row r="232">
      <c r="A232" s="20"/>
      <c r="C232" s="20"/>
      <c r="D232" s="92"/>
      <c r="E232" s="93"/>
      <c r="F232" s="94"/>
      <c r="G232" s="8"/>
      <c r="I232" s="59"/>
      <c r="J232" s="20"/>
      <c r="L232" s="20"/>
      <c r="N232" s="91"/>
      <c r="O232" s="59"/>
      <c r="P232" s="59"/>
    </row>
    <row r="233">
      <c r="A233" s="20"/>
      <c r="C233" s="20"/>
      <c r="D233" s="92"/>
      <c r="E233" s="93"/>
      <c r="F233" s="94"/>
      <c r="G233" s="8"/>
      <c r="I233" s="59"/>
      <c r="J233" s="20"/>
      <c r="L233" s="20"/>
      <c r="N233" s="91"/>
      <c r="O233" s="59"/>
      <c r="P233" s="59"/>
    </row>
    <row r="234">
      <c r="A234" s="20"/>
      <c r="C234" s="20"/>
      <c r="D234" s="92"/>
      <c r="E234" s="93"/>
      <c r="F234" s="94"/>
      <c r="G234" s="8"/>
      <c r="I234" s="59"/>
      <c r="J234" s="20"/>
      <c r="L234" s="20"/>
      <c r="N234" s="91"/>
      <c r="O234" s="59"/>
      <c r="P234" s="59"/>
    </row>
    <row r="235">
      <c r="A235" s="20"/>
      <c r="C235" s="20"/>
      <c r="D235" s="92"/>
      <c r="E235" s="93"/>
      <c r="F235" s="94"/>
      <c r="G235" s="8"/>
      <c r="I235" s="59"/>
      <c r="J235" s="20"/>
      <c r="L235" s="20"/>
      <c r="N235" s="91"/>
      <c r="O235" s="59"/>
      <c r="P235" s="59"/>
    </row>
    <row r="236">
      <c r="A236" s="20"/>
      <c r="C236" s="20"/>
      <c r="D236" s="92"/>
      <c r="E236" s="93"/>
      <c r="F236" s="94"/>
      <c r="G236" s="8"/>
      <c r="I236" s="59"/>
      <c r="J236" s="20"/>
      <c r="L236" s="20"/>
      <c r="N236" s="91"/>
      <c r="O236" s="59"/>
      <c r="P236" s="59"/>
    </row>
    <row r="237">
      <c r="A237" s="20"/>
      <c r="C237" s="20"/>
      <c r="D237" s="92"/>
      <c r="E237" s="93"/>
      <c r="F237" s="94"/>
      <c r="G237" s="8"/>
      <c r="I237" s="59"/>
      <c r="J237" s="20"/>
      <c r="L237" s="20"/>
      <c r="N237" s="91"/>
      <c r="O237" s="59"/>
      <c r="P237" s="59"/>
    </row>
    <row r="238">
      <c r="A238" s="20"/>
      <c r="C238" s="20"/>
      <c r="D238" s="92"/>
      <c r="E238" s="93"/>
      <c r="F238" s="94"/>
      <c r="G238" s="8"/>
      <c r="I238" s="59"/>
      <c r="J238" s="20"/>
      <c r="L238" s="20"/>
      <c r="N238" s="91"/>
      <c r="O238" s="59"/>
      <c r="P238" s="59"/>
    </row>
    <row r="239">
      <c r="A239" s="20"/>
      <c r="C239" s="20"/>
      <c r="D239" s="92"/>
      <c r="E239" s="93"/>
      <c r="F239" s="94"/>
      <c r="G239" s="8"/>
      <c r="I239" s="59"/>
      <c r="J239" s="20"/>
      <c r="L239" s="20"/>
      <c r="N239" s="91"/>
      <c r="O239" s="59"/>
      <c r="P239" s="59"/>
    </row>
    <row r="240">
      <c r="A240" s="20"/>
      <c r="C240" s="20"/>
      <c r="D240" s="92"/>
      <c r="E240" s="93"/>
      <c r="F240" s="94"/>
      <c r="G240" s="8"/>
      <c r="I240" s="59"/>
      <c r="J240" s="20"/>
      <c r="L240" s="20"/>
      <c r="N240" s="91"/>
      <c r="O240" s="59"/>
      <c r="P240" s="59"/>
    </row>
    <row r="241">
      <c r="A241" s="20"/>
      <c r="C241" s="20"/>
      <c r="D241" s="92"/>
      <c r="E241" s="93"/>
      <c r="F241" s="94"/>
      <c r="G241" s="8"/>
      <c r="I241" s="59"/>
      <c r="J241" s="20"/>
      <c r="L241" s="20"/>
      <c r="N241" s="91"/>
      <c r="O241" s="59"/>
      <c r="P241" s="59"/>
    </row>
    <row r="242">
      <c r="A242" s="20"/>
      <c r="C242" s="20"/>
      <c r="D242" s="92"/>
      <c r="E242" s="93"/>
      <c r="F242" s="94"/>
      <c r="G242" s="8"/>
      <c r="I242" s="59"/>
      <c r="J242" s="20"/>
      <c r="L242" s="20"/>
      <c r="N242" s="91"/>
      <c r="O242" s="59"/>
      <c r="P242" s="59"/>
    </row>
    <row r="243">
      <c r="A243" s="20"/>
      <c r="C243" s="20"/>
      <c r="D243" s="92"/>
      <c r="E243" s="93"/>
      <c r="F243" s="94"/>
      <c r="G243" s="8"/>
      <c r="I243" s="59"/>
      <c r="J243" s="20"/>
      <c r="L243" s="20"/>
      <c r="N243" s="91"/>
      <c r="O243" s="59"/>
      <c r="P243" s="59"/>
    </row>
    <row r="244">
      <c r="A244" s="20"/>
      <c r="C244" s="20"/>
      <c r="D244" s="92"/>
      <c r="E244" s="93"/>
      <c r="F244" s="94"/>
      <c r="G244" s="8"/>
      <c r="I244" s="59"/>
      <c r="J244" s="20"/>
      <c r="L244" s="20"/>
      <c r="N244" s="91"/>
      <c r="O244" s="59"/>
      <c r="P244" s="59"/>
    </row>
    <row r="245">
      <c r="A245" s="20"/>
      <c r="C245" s="20"/>
      <c r="D245" s="92"/>
      <c r="E245" s="93"/>
      <c r="F245" s="94"/>
      <c r="G245" s="8"/>
      <c r="I245" s="59"/>
      <c r="J245" s="20"/>
      <c r="L245" s="20"/>
      <c r="N245" s="91"/>
      <c r="O245" s="59"/>
      <c r="P245" s="59"/>
    </row>
    <row r="246">
      <c r="A246" s="20"/>
      <c r="C246" s="20"/>
      <c r="D246" s="92"/>
      <c r="E246" s="93"/>
      <c r="F246" s="94"/>
      <c r="G246" s="8"/>
      <c r="I246" s="59"/>
      <c r="J246" s="20"/>
      <c r="L246" s="20"/>
      <c r="N246" s="91"/>
      <c r="O246" s="59"/>
      <c r="P246" s="59"/>
    </row>
    <row r="247">
      <c r="A247" s="20"/>
      <c r="C247" s="20"/>
      <c r="D247" s="92"/>
      <c r="E247" s="93"/>
      <c r="F247" s="94"/>
      <c r="G247" s="8"/>
      <c r="I247" s="59"/>
      <c r="J247" s="20"/>
      <c r="L247" s="20"/>
      <c r="N247" s="91"/>
      <c r="O247" s="59"/>
      <c r="P247" s="59"/>
    </row>
    <row r="248">
      <c r="A248" s="20"/>
      <c r="C248" s="20"/>
      <c r="D248" s="92"/>
      <c r="E248" s="93"/>
      <c r="F248" s="94"/>
      <c r="G248" s="8"/>
      <c r="I248" s="59"/>
      <c r="J248" s="20"/>
      <c r="L248" s="20"/>
      <c r="N248" s="91"/>
      <c r="O248" s="59"/>
      <c r="P248" s="59"/>
    </row>
    <row r="249">
      <c r="A249" s="20"/>
      <c r="C249" s="20"/>
      <c r="D249" s="92"/>
      <c r="E249" s="93"/>
      <c r="F249" s="94"/>
      <c r="G249" s="8"/>
      <c r="I249" s="59"/>
      <c r="J249" s="20"/>
      <c r="L249" s="20"/>
      <c r="N249" s="91"/>
      <c r="O249" s="59"/>
      <c r="P249" s="59"/>
    </row>
    <row r="250">
      <c r="A250" s="20"/>
      <c r="C250" s="20"/>
      <c r="D250" s="92"/>
      <c r="E250" s="93"/>
      <c r="F250" s="94"/>
      <c r="G250" s="8"/>
      <c r="I250" s="59"/>
      <c r="J250" s="20"/>
      <c r="L250" s="20"/>
      <c r="N250" s="91"/>
      <c r="O250" s="59"/>
      <c r="P250" s="59"/>
    </row>
    <row r="251">
      <c r="A251" s="20"/>
      <c r="C251" s="20"/>
      <c r="D251" s="92"/>
      <c r="E251" s="93"/>
      <c r="F251" s="94"/>
      <c r="G251" s="8"/>
      <c r="I251" s="59"/>
      <c r="J251" s="20"/>
      <c r="L251" s="20"/>
      <c r="N251" s="91"/>
      <c r="O251" s="59"/>
      <c r="P251" s="59"/>
    </row>
    <row r="252">
      <c r="A252" s="20"/>
      <c r="C252" s="20"/>
      <c r="D252" s="92"/>
      <c r="E252" s="93"/>
      <c r="F252" s="94"/>
      <c r="G252" s="8"/>
      <c r="I252" s="59"/>
      <c r="J252" s="20"/>
      <c r="L252" s="20"/>
      <c r="N252" s="91"/>
      <c r="O252" s="59"/>
      <c r="P252" s="59"/>
    </row>
    <row r="253">
      <c r="A253" s="20"/>
      <c r="C253" s="20"/>
      <c r="D253" s="92"/>
      <c r="E253" s="93"/>
      <c r="F253" s="94"/>
      <c r="G253" s="8"/>
      <c r="I253" s="59"/>
      <c r="J253" s="20"/>
      <c r="L253" s="20"/>
      <c r="N253" s="91"/>
      <c r="O253" s="59"/>
      <c r="P253" s="59"/>
    </row>
    <row r="254">
      <c r="A254" s="20"/>
      <c r="C254" s="20"/>
      <c r="D254" s="92"/>
      <c r="E254" s="93"/>
      <c r="F254" s="94"/>
      <c r="G254" s="8"/>
      <c r="I254" s="59"/>
      <c r="J254" s="20"/>
      <c r="L254" s="20"/>
      <c r="N254" s="91"/>
      <c r="O254" s="59"/>
      <c r="P254" s="59"/>
    </row>
    <row r="255">
      <c r="A255" s="20"/>
      <c r="C255" s="20"/>
      <c r="D255" s="92"/>
      <c r="E255" s="93"/>
      <c r="F255" s="94"/>
      <c r="G255" s="8"/>
      <c r="I255" s="59"/>
      <c r="J255" s="20"/>
      <c r="L255" s="20"/>
      <c r="N255" s="91"/>
      <c r="O255" s="59"/>
      <c r="P255" s="59"/>
    </row>
    <row r="256">
      <c r="A256" s="20"/>
      <c r="C256" s="20"/>
      <c r="D256" s="92"/>
      <c r="E256" s="93"/>
      <c r="F256" s="94"/>
      <c r="G256" s="8"/>
      <c r="I256" s="59"/>
      <c r="J256" s="20"/>
      <c r="L256" s="20"/>
      <c r="N256" s="91"/>
      <c r="O256" s="59"/>
      <c r="P256" s="59"/>
    </row>
    <row r="257">
      <c r="A257" s="20"/>
      <c r="C257" s="20"/>
      <c r="D257" s="92"/>
      <c r="E257" s="93"/>
      <c r="F257" s="94"/>
      <c r="G257" s="8"/>
      <c r="I257" s="59"/>
      <c r="J257" s="20"/>
      <c r="L257" s="20"/>
      <c r="N257" s="91"/>
      <c r="O257" s="59"/>
      <c r="P257" s="59"/>
    </row>
    <row r="258">
      <c r="A258" s="20"/>
      <c r="C258" s="20"/>
      <c r="D258" s="92"/>
      <c r="E258" s="93"/>
      <c r="F258" s="94"/>
      <c r="G258" s="8"/>
      <c r="I258" s="59"/>
      <c r="J258" s="20"/>
      <c r="L258" s="20"/>
      <c r="N258" s="91"/>
      <c r="O258" s="59"/>
      <c r="P258" s="59"/>
    </row>
    <row r="259">
      <c r="A259" s="20"/>
      <c r="C259" s="20"/>
      <c r="D259" s="92"/>
      <c r="E259" s="93"/>
      <c r="F259" s="94"/>
      <c r="G259" s="8"/>
      <c r="I259" s="59"/>
      <c r="J259" s="20"/>
      <c r="L259" s="20"/>
      <c r="N259" s="91"/>
      <c r="O259" s="59"/>
      <c r="P259" s="59"/>
    </row>
    <row r="260">
      <c r="A260" s="20"/>
      <c r="C260" s="20"/>
      <c r="D260" s="92"/>
      <c r="E260" s="93"/>
      <c r="F260" s="94"/>
      <c r="G260" s="8"/>
      <c r="I260" s="59"/>
      <c r="J260" s="20"/>
      <c r="L260" s="20"/>
      <c r="N260" s="91"/>
      <c r="O260" s="59"/>
      <c r="P260" s="59"/>
    </row>
    <row r="261">
      <c r="A261" s="20"/>
      <c r="C261" s="20"/>
      <c r="D261" s="92"/>
      <c r="E261" s="93"/>
      <c r="F261" s="94"/>
      <c r="G261" s="8"/>
      <c r="I261" s="59"/>
      <c r="J261" s="20"/>
      <c r="L261" s="20"/>
      <c r="N261" s="91"/>
      <c r="O261" s="59"/>
      <c r="P261" s="59"/>
    </row>
    <row r="262">
      <c r="A262" s="20"/>
      <c r="C262" s="20"/>
      <c r="D262" s="92"/>
      <c r="E262" s="93"/>
      <c r="F262" s="94"/>
      <c r="G262" s="8"/>
      <c r="I262" s="59"/>
      <c r="J262" s="20"/>
      <c r="L262" s="20"/>
      <c r="N262" s="91"/>
      <c r="O262" s="59"/>
      <c r="P262" s="59"/>
    </row>
    <row r="263">
      <c r="A263" s="20"/>
      <c r="C263" s="20"/>
      <c r="D263" s="92"/>
      <c r="E263" s="93"/>
      <c r="F263" s="94"/>
      <c r="G263" s="8"/>
      <c r="I263" s="59"/>
      <c r="J263" s="20"/>
      <c r="L263" s="20"/>
      <c r="N263" s="91"/>
      <c r="O263" s="59"/>
      <c r="P263" s="59"/>
    </row>
    <row r="264">
      <c r="A264" s="20"/>
      <c r="C264" s="20"/>
      <c r="D264" s="92"/>
      <c r="E264" s="93"/>
      <c r="F264" s="94"/>
      <c r="G264" s="8"/>
      <c r="I264" s="59"/>
      <c r="J264" s="20"/>
      <c r="L264" s="20"/>
      <c r="N264" s="91"/>
      <c r="O264" s="59"/>
      <c r="P264" s="59"/>
    </row>
    <row r="265">
      <c r="A265" s="20"/>
      <c r="C265" s="20"/>
      <c r="D265" s="92"/>
      <c r="E265" s="93"/>
      <c r="F265" s="94"/>
      <c r="G265" s="8"/>
      <c r="I265" s="59"/>
      <c r="J265" s="20"/>
      <c r="L265" s="20"/>
      <c r="N265" s="91"/>
      <c r="O265" s="59"/>
      <c r="P265" s="59"/>
    </row>
    <row r="266">
      <c r="A266" s="20"/>
      <c r="C266" s="20"/>
      <c r="D266" s="92"/>
      <c r="E266" s="93"/>
      <c r="F266" s="94"/>
      <c r="G266" s="8"/>
      <c r="I266" s="59"/>
      <c r="J266" s="20"/>
      <c r="L266" s="20"/>
      <c r="N266" s="91"/>
      <c r="O266" s="59"/>
      <c r="P266" s="59"/>
    </row>
    <row r="267">
      <c r="A267" s="20"/>
      <c r="C267" s="20"/>
      <c r="D267" s="92"/>
      <c r="E267" s="93"/>
      <c r="F267" s="94"/>
      <c r="G267" s="8"/>
      <c r="I267" s="59"/>
      <c r="J267" s="20"/>
      <c r="L267" s="20"/>
      <c r="N267" s="91"/>
      <c r="O267" s="59"/>
      <c r="P267" s="59"/>
    </row>
    <row r="268">
      <c r="A268" s="20"/>
      <c r="C268" s="20"/>
      <c r="D268" s="92"/>
      <c r="E268" s="93"/>
      <c r="F268" s="94"/>
      <c r="G268" s="8"/>
      <c r="I268" s="59"/>
      <c r="J268" s="20"/>
      <c r="L268" s="20"/>
      <c r="N268" s="91"/>
      <c r="O268" s="59"/>
      <c r="P268" s="59"/>
    </row>
    <row r="269">
      <c r="A269" s="20"/>
      <c r="C269" s="20"/>
      <c r="D269" s="92"/>
      <c r="E269" s="93"/>
      <c r="F269" s="94"/>
      <c r="G269" s="8"/>
      <c r="I269" s="59"/>
      <c r="J269" s="20"/>
      <c r="L269" s="20"/>
      <c r="N269" s="91"/>
      <c r="O269" s="59"/>
      <c r="P269" s="59"/>
    </row>
    <row r="270">
      <c r="A270" s="20"/>
      <c r="C270" s="20"/>
      <c r="D270" s="92"/>
      <c r="E270" s="93"/>
      <c r="F270" s="94"/>
      <c r="G270" s="8"/>
      <c r="I270" s="59"/>
      <c r="J270" s="20"/>
      <c r="L270" s="20"/>
      <c r="N270" s="91"/>
      <c r="O270" s="59"/>
      <c r="P270" s="59"/>
    </row>
    <row r="271">
      <c r="A271" s="20"/>
      <c r="C271" s="20"/>
      <c r="D271" s="92"/>
      <c r="E271" s="93"/>
      <c r="F271" s="94"/>
      <c r="G271" s="8"/>
      <c r="I271" s="59"/>
      <c r="J271" s="20"/>
      <c r="L271" s="20"/>
      <c r="N271" s="91"/>
      <c r="O271" s="59"/>
      <c r="P271" s="59"/>
    </row>
    <row r="272">
      <c r="A272" s="20"/>
      <c r="C272" s="20"/>
      <c r="D272" s="92"/>
      <c r="E272" s="93"/>
      <c r="F272" s="94"/>
      <c r="G272" s="8"/>
      <c r="I272" s="59"/>
      <c r="J272" s="20"/>
      <c r="L272" s="20"/>
      <c r="N272" s="91"/>
      <c r="O272" s="59"/>
      <c r="P272" s="59"/>
    </row>
    <row r="273">
      <c r="A273" s="20"/>
      <c r="C273" s="20"/>
      <c r="D273" s="92"/>
      <c r="E273" s="93"/>
      <c r="F273" s="94"/>
      <c r="G273" s="8"/>
      <c r="I273" s="59"/>
      <c r="J273" s="20"/>
      <c r="L273" s="20"/>
      <c r="N273" s="91"/>
      <c r="O273" s="59"/>
      <c r="P273" s="59"/>
    </row>
    <row r="274">
      <c r="A274" s="20"/>
      <c r="C274" s="20"/>
      <c r="D274" s="92"/>
      <c r="E274" s="93"/>
      <c r="F274" s="94"/>
      <c r="G274" s="8"/>
      <c r="I274" s="59"/>
      <c r="J274" s="20"/>
      <c r="L274" s="20"/>
      <c r="N274" s="91"/>
      <c r="O274" s="59"/>
      <c r="P274" s="59"/>
    </row>
    <row r="275">
      <c r="A275" s="20"/>
      <c r="C275" s="20"/>
      <c r="D275" s="92"/>
      <c r="E275" s="93"/>
      <c r="F275" s="94"/>
      <c r="G275" s="8"/>
      <c r="I275" s="59"/>
      <c r="J275" s="20"/>
      <c r="L275" s="20"/>
      <c r="N275" s="91"/>
      <c r="O275" s="59"/>
      <c r="P275" s="59"/>
    </row>
    <row r="276">
      <c r="A276" s="20"/>
      <c r="C276" s="20"/>
      <c r="D276" s="92"/>
      <c r="E276" s="93"/>
      <c r="F276" s="94"/>
      <c r="G276" s="8"/>
      <c r="I276" s="59"/>
      <c r="J276" s="20"/>
      <c r="L276" s="20"/>
      <c r="N276" s="91"/>
      <c r="O276" s="59"/>
      <c r="P276" s="59"/>
    </row>
    <row r="277">
      <c r="A277" s="20"/>
      <c r="C277" s="20"/>
      <c r="D277" s="92"/>
      <c r="E277" s="93"/>
      <c r="F277" s="94"/>
      <c r="G277" s="8"/>
      <c r="I277" s="59"/>
      <c r="J277" s="20"/>
      <c r="L277" s="20"/>
      <c r="N277" s="91"/>
      <c r="O277" s="59"/>
      <c r="P277" s="59"/>
    </row>
    <row r="278">
      <c r="A278" s="20"/>
      <c r="C278" s="20"/>
      <c r="D278" s="92"/>
      <c r="E278" s="93"/>
      <c r="F278" s="94"/>
      <c r="G278" s="8"/>
      <c r="I278" s="59"/>
      <c r="J278" s="20"/>
      <c r="L278" s="20"/>
      <c r="N278" s="91"/>
      <c r="O278" s="59"/>
      <c r="P278" s="59"/>
    </row>
    <row r="279">
      <c r="A279" s="20"/>
      <c r="C279" s="20"/>
      <c r="D279" s="92"/>
      <c r="E279" s="93"/>
      <c r="F279" s="94"/>
      <c r="G279" s="8"/>
      <c r="I279" s="59"/>
      <c r="J279" s="20"/>
      <c r="L279" s="20"/>
      <c r="N279" s="91"/>
      <c r="O279" s="59"/>
      <c r="P279" s="59"/>
    </row>
    <row r="280">
      <c r="A280" s="20"/>
      <c r="C280" s="20"/>
      <c r="D280" s="92"/>
      <c r="E280" s="93"/>
      <c r="F280" s="94"/>
      <c r="G280" s="8"/>
      <c r="I280" s="59"/>
      <c r="J280" s="20"/>
      <c r="L280" s="20"/>
      <c r="N280" s="91"/>
      <c r="O280" s="59"/>
      <c r="P280" s="59"/>
    </row>
    <row r="281">
      <c r="A281" s="20"/>
      <c r="C281" s="20"/>
      <c r="D281" s="92"/>
      <c r="E281" s="93"/>
      <c r="F281" s="94"/>
      <c r="G281" s="8"/>
      <c r="I281" s="59"/>
      <c r="J281" s="20"/>
      <c r="L281" s="20"/>
      <c r="N281" s="91"/>
      <c r="O281" s="59"/>
      <c r="P281" s="59"/>
    </row>
    <row r="282">
      <c r="A282" s="20"/>
      <c r="C282" s="20"/>
      <c r="D282" s="92"/>
      <c r="E282" s="93"/>
      <c r="F282" s="94"/>
      <c r="G282" s="8"/>
      <c r="I282" s="59"/>
      <c r="J282" s="20"/>
      <c r="L282" s="20"/>
      <c r="N282" s="91"/>
      <c r="O282" s="59"/>
      <c r="P282" s="59"/>
    </row>
    <row r="283">
      <c r="A283" s="20"/>
      <c r="C283" s="20"/>
      <c r="D283" s="92"/>
      <c r="E283" s="93"/>
      <c r="F283" s="94"/>
      <c r="G283" s="8"/>
      <c r="I283" s="59"/>
      <c r="J283" s="20"/>
      <c r="L283" s="20"/>
      <c r="N283" s="91"/>
      <c r="O283" s="59"/>
      <c r="P283" s="59"/>
    </row>
    <row r="284">
      <c r="A284" s="20"/>
      <c r="C284" s="20"/>
      <c r="D284" s="92"/>
      <c r="E284" s="93"/>
      <c r="F284" s="94"/>
      <c r="G284" s="8"/>
      <c r="I284" s="59"/>
      <c r="J284" s="20"/>
      <c r="L284" s="20"/>
      <c r="N284" s="91"/>
      <c r="O284" s="59"/>
      <c r="P284" s="59"/>
    </row>
    <row r="285">
      <c r="A285" s="20"/>
      <c r="C285" s="20"/>
      <c r="D285" s="92"/>
      <c r="E285" s="93"/>
      <c r="F285" s="94"/>
      <c r="G285" s="8"/>
      <c r="I285" s="59"/>
      <c r="J285" s="20"/>
      <c r="L285" s="20"/>
      <c r="N285" s="91"/>
      <c r="O285" s="59"/>
      <c r="P285" s="59"/>
    </row>
    <row r="286">
      <c r="A286" s="20"/>
      <c r="C286" s="20"/>
      <c r="D286" s="92"/>
      <c r="E286" s="93"/>
      <c r="F286" s="94"/>
      <c r="G286" s="8"/>
      <c r="I286" s="59"/>
      <c r="J286" s="20"/>
      <c r="L286" s="20"/>
      <c r="N286" s="91"/>
      <c r="O286" s="59"/>
      <c r="P286" s="59"/>
    </row>
    <row r="287">
      <c r="A287" s="20"/>
      <c r="C287" s="20"/>
      <c r="D287" s="92"/>
      <c r="E287" s="93"/>
      <c r="F287" s="94"/>
      <c r="G287" s="8"/>
      <c r="I287" s="59"/>
      <c r="J287" s="20"/>
      <c r="L287" s="20"/>
      <c r="N287" s="91"/>
      <c r="O287" s="59"/>
      <c r="P287" s="59"/>
    </row>
    <row r="288">
      <c r="A288" s="20"/>
      <c r="C288" s="20"/>
      <c r="D288" s="92"/>
      <c r="E288" s="93"/>
      <c r="F288" s="94"/>
      <c r="G288" s="8"/>
      <c r="I288" s="59"/>
      <c r="J288" s="20"/>
      <c r="L288" s="20"/>
      <c r="N288" s="91"/>
      <c r="O288" s="59"/>
      <c r="P288" s="59"/>
    </row>
    <row r="289">
      <c r="A289" s="20"/>
      <c r="C289" s="20"/>
      <c r="D289" s="92"/>
      <c r="E289" s="93"/>
      <c r="F289" s="94"/>
      <c r="G289" s="8"/>
      <c r="I289" s="59"/>
      <c r="J289" s="20"/>
      <c r="L289" s="20"/>
      <c r="N289" s="91"/>
      <c r="O289" s="59"/>
      <c r="P289" s="59"/>
    </row>
    <row r="290">
      <c r="A290" s="20"/>
      <c r="C290" s="20"/>
      <c r="D290" s="92"/>
      <c r="E290" s="93"/>
      <c r="F290" s="94"/>
      <c r="G290" s="8"/>
      <c r="I290" s="59"/>
      <c r="J290" s="20"/>
      <c r="L290" s="20"/>
      <c r="N290" s="91"/>
      <c r="O290" s="59"/>
      <c r="P290" s="59"/>
    </row>
    <row r="291">
      <c r="A291" s="20"/>
      <c r="C291" s="20"/>
      <c r="D291" s="92"/>
      <c r="E291" s="93"/>
      <c r="F291" s="94"/>
      <c r="G291" s="8"/>
      <c r="I291" s="59"/>
      <c r="J291" s="20"/>
      <c r="L291" s="20"/>
      <c r="N291" s="91"/>
      <c r="O291" s="59"/>
      <c r="P291" s="59"/>
    </row>
    <row r="292">
      <c r="A292" s="20"/>
      <c r="C292" s="20"/>
      <c r="D292" s="92"/>
      <c r="E292" s="93"/>
      <c r="F292" s="94"/>
      <c r="G292" s="8"/>
      <c r="I292" s="59"/>
      <c r="J292" s="20"/>
      <c r="L292" s="20"/>
      <c r="N292" s="91"/>
      <c r="O292" s="59"/>
      <c r="P292" s="59"/>
    </row>
    <row r="293">
      <c r="A293" s="20"/>
      <c r="C293" s="20"/>
      <c r="D293" s="92"/>
      <c r="E293" s="93"/>
      <c r="F293" s="94"/>
      <c r="G293" s="8"/>
      <c r="I293" s="59"/>
      <c r="J293" s="20"/>
      <c r="L293" s="20"/>
      <c r="N293" s="91"/>
      <c r="O293" s="59"/>
      <c r="P293" s="59"/>
    </row>
    <row r="294">
      <c r="A294" s="20"/>
      <c r="C294" s="20"/>
      <c r="D294" s="92"/>
      <c r="E294" s="93"/>
      <c r="F294" s="94"/>
      <c r="G294" s="8"/>
      <c r="I294" s="59"/>
      <c r="J294" s="20"/>
      <c r="L294" s="20"/>
      <c r="N294" s="91"/>
      <c r="O294" s="59"/>
      <c r="P294" s="59"/>
    </row>
    <row r="295">
      <c r="A295" s="20"/>
      <c r="C295" s="20"/>
      <c r="D295" s="92"/>
      <c r="E295" s="93"/>
      <c r="F295" s="94"/>
      <c r="G295" s="8"/>
      <c r="I295" s="59"/>
      <c r="J295" s="20"/>
      <c r="L295" s="20"/>
      <c r="N295" s="91"/>
      <c r="O295" s="59"/>
      <c r="P295" s="59"/>
    </row>
    <row r="296">
      <c r="A296" s="20"/>
      <c r="C296" s="20"/>
      <c r="D296" s="92"/>
      <c r="E296" s="93"/>
      <c r="F296" s="94"/>
      <c r="G296" s="8"/>
      <c r="I296" s="59"/>
      <c r="J296" s="20"/>
      <c r="L296" s="20"/>
      <c r="N296" s="91"/>
      <c r="O296" s="59"/>
      <c r="P296" s="59"/>
    </row>
    <row r="297">
      <c r="A297" s="20"/>
      <c r="C297" s="20"/>
      <c r="D297" s="92"/>
      <c r="E297" s="93"/>
      <c r="F297" s="94"/>
      <c r="G297" s="8"/>
      <c r="I297" s="59"/>
      <c r="J297" s="20"/>
      <c r="L297" s="20"/>
      <c r="N297" s="91"/>
      <c r="O297" s="59"/>
      <c r="P297" s="59"/>
    </row>
    <row r="298">
      <c r="A298" s="20"/>
      <c r="C298" s="20"/>
      <c r="D298" s="92"/>
      <c r="E298" s="93"/>
      <c r="F298" s="94"/>
      <c r="G298" s="8"/>
      <c r="I298" s="59"/>
      <c r="J298" s="20"/>
      <c r="L298" s="20"/>
      <c r="N298" s="91"/>
      <c r="O298" s="59"/>
      <c r="P298" s="59"/>
    </row>
    <row r="299">
      <c r="A299" s="20"/>
      <c r="C299" s="20"/>
      <c r="D299" s="92"/>
      <c r="E299" s="93"/>
      <c r="F299" s="94"/>
      <c r="G299" s="8"/>
      <c r="I299" s="59"/>
      <c r="J299" s="20"/>
      <c r="L299" s="20"/>
      <c r="N299" s="91"/>
      <c r="O299" s="59"/>
      <c r="P299" s="59"/>
    </row>
    <row r="300">
      <c r="A300" s="20"/>
      <c r="C300" s="20"/>
      <c r="D300" s="92"/>
      <c r="E300" s="93"/>
      <c r="F300" s="94"/>
      <c r="G300" s="8"/>
      <c r="I300" s="59"/>
      <c r="J300" s="20"/>
      <c r="L300" s="20"/>
      <c r="N300" s="91"/>
      <c r="O300" s="59"/>
      <c r="P300" s="59"/>
    </row>
    <row r="301">
      <c r="A301" s="20"/>
      <c r="C301" s="20"/>
      <c r="D301" s="92"/>
      <c r="E301" s="93"/>
      <c r="F301" s="94"/>
      <c r="G301" s="8"/>
      <c r="I301" s="59"/>
      <c r="J301" s="20"/>
      <c r="L301" s="20"/>
      <c r="N301" s="91"/>
      <c r="O301" s="59"/>
      <c r="P301" s="59"/>
    </row>
    <row r="302">
      <c r="A302" s="20"/>
      <c r="C302" s="20"/>
      <c r="D302" s="92"/>
      <c r="E302" s="93"/>
      <c r="F302" s="94"/>
      <c r="G302" s="8"/>
      <c r="I302" s="59"/>
      <c r="J302" s="20"/>
      <c r="L302" s="20"/>
      <c r="N302" s="91"/>
      <c r="O302" s="59"/>
      <c r="P302" s="59"/>
    </row>
    <row r="303">
      <c r="A303" s="20"/>
      <c r="C303" s="20"/>
      <c r="D303" s="92"/>
      <c r="E303" s="93"/>
      <c r="F303" s="94"/>
      <c r="G303" s="8"/>
      <c r="I303" s="59"/>
      <c r="J303" s="20"/>
      <c r="L303" s="20"/>
      <c r="N303" s="91"/>
      <c r="O303" s="59"/>
      <c r="P303" s="59"/>
    </row>
    <row r="304">
      <c r="A304" s="20"/>
      <c r="C304" s="20"/>
      <c r="D304" s="92"/>
      <c r="E304" s="93"/>
      <c r="F304" s="94"/>
      <c r="G304" s="8"/>
      <c r="I304" s="59"/>
      <c r="J304" s="20"/>
      <c r="L304" s="20"/>
      <c r="N304" s="91"/>
      <c r="O304" s="59"/>
      <c r="P304" s="59"/>
    </row>
    <row r="305">
      <c r="A305" s="20"/>
      <c r="C305" s="20"/>
      <c r="D305" s="92"/>
      <c r="E305" s="93"/>
      <c r="F305" s="94"/>
      <c r="G305" s="8"/>
      <c r="I305" s="59"/>
      <c r="J305" s="20"/>
      <c r="L305" s="20"/>
      <c r="N305" s="91"/>
      <c r="O305" s="59"/>
      <c r="P305" s="59"/>
    </row>
    <row r="306">
      <c r="A306" s="20"/>
      <c r="C306" s="20"/>
      <c r="D306" s="92"/>
      <c r="E306" s="93"/>
      <c r="F306" s="94"/>
      <c r="G306" s="8"/>
      <c r="I306" s="59"/>
      <c r="J306" s="20"/>
      <c r="L306" s="20"/>
      <c r="N306" s="91"/>
      <c r="O306" s="59"/>
      <c r="P306" s="59"/>
    </row>
    <row r="307">
      <c r="A307" s="20"/>
      <c r="C307" s="20"/>
      <c r="D307" s="92"/>
      <c r="E307" s="93"/>
      <c r="F307" s="94"/>
      <c r="G307" s="8"/>
      <c r="I307" s="59"/>
      <c r="J307" s="20"/>
      <c r="L307" s="20"/>
      <c r="N307" s="91"/>
      <c r="O307" s="59"/>
      <c r="P307" s="59"/>
    </row>
    <row r="308">
      <c r="A308" s="20"/>
      <c r="C308" s="20"/>
      <c r="D308" s="92"/>
      <c r="E308" s="93"/>
      <c r="F308" s="94"/>
      <c r="G308" s="8"/>
      <c r="I308" s="59"/>
      <c r="J308" s="20"/>
      <c r="L308" s="20"/>
      <c r="N308" s="91"/>
      <c r="O308" s="59"/>
      <c r="P308" s="59"/>
    </row>
    <row r="309">
      <c r="A309" s="20"/>
      <c r="C309" s="20"/>
      <c r="D309" s="92"/>
      <c r="E309" s="93"/>
      <c r="F309" s="94"/>
      <c r="G309" s="8"/>
      <c r="I309" s="59"/>
      <c r="J309" s="20"/>
      <c r="L309" s="20"/>
      <c r="N309" s="91"/>
      <c r="O309" s="59"/>
      <c r="P309" s="59"/>
    </row>
    <row r="310">
      <c r="A310" s="20"/>
      <c r="C310" s="20"/>
      <c r="D310" s="92"/>
      <c r="E310" s="93"/>
      <c r="F310" s="94"/>
      <c r="G310" s="8"/>
      <c r="I310" s="59"/>
      <c r="J310" s="20"/>
      <c r="L310" s="20"/>
      <c r="N310" s="91"/>
      <c r="O310" s="59"/>
      <c r="P310" s="59"/>
    </row>
    <row r="311">
      <c r="A311" s="20"/>
      <c r="C311" s="20"/>
      <c r="D311" s="92"/>
      <c r="E311" s="93"/>
      <c r="F311" s="94"/>
      <c r="G311" s="8"/>
      <c r="I311" s="59"/>
      <c r="J311" s="20"/>
      <c r="L311" s="20"/>
      <c r="N311" s="91"/>
      <c r="O311" s="59"/>
      <c r="P311" s="59"/>
    </row>
    <row r="312">
      <c r="A312" s="20"/>
      <c r="C312" s="20"/>
      <c r="D312" s="92"/>
      <c r="E312" s="93"/>
      <c r="F312" s="94"/>
      <c r="G312" s="8"/>
      <c r="I312" s="59"/>
      <c r="J312" s="20"/>
      <c r="L312" s="20"/>
      <c r="N312" s="91"/>
      <c r="O312" s="59"/>
      <c r="P312" s="59"/>
    </row>
    <row r="313">
      <c r="A313" s="20"/>
      <c r="C313" s="20"/>
      <c r="D313" s="92"/>
      <c r="E313" s="93"/>
      <c r="F313" s="94"/>
      <c r="G313" s="8"/>
      <c r="I313" s="59"/>
      <c r="J313" s="20"/>
      <c r="L313" s="20"/>
      <c r="N313" s="91"/>
      <c r="O313" s="59"/>
      <c r="P313" s="59"/>
    </row>
    <row r="314">
      <c r="A314" s="20"/>
      <c r="C314" s="20"/>
      <c r="D314" s="92"/>
      <c r="E314" s="93"/>
      <c r="F314" s="94"/>
      <c r="G314" s="8"/>
      <c r="I314" s="59"/>
      <c r="J314" s="20"/>
      <c r="L314" s="20"/>
      <c r="N314" s="91"/>
      <c r="O314" s="59"/>
      <c r="P314" s="59"/>
    </row>
    <row r="315">
      <c r="A315" s="20"/>
      <c r="C315" s="20"/>
      <c r="D315" s="92"/>
      <c r="E315" s="93"/>
      <c r="F315" s="94"/>
      <c r="G315" s="8"/>
      <c r="I315" s="59"/>
      <c r="J315" s="20"/>
      <c r="L315" s="20"/>
      <c r="N315" s="91"/>
      <c r="O315" s="59"/>
      <c r="P315" s="59"/>
    </row>
    <row r="316">
      <c r="A316" s="20"/>
      <c r="C316" s="20"/>
      <c r="D316" s="92"/>
      <c r="E316" s="93"/>
      <c r="F316" s="94"/>
      <c r="G316" s="8"/>
      <c r="I316" s="59"/>
      <c r="J316" s="20"/>
      <c r="L316" s="20"/>
      <c r="N316" s="91"/>
      <c r="O316" s="59"/>
      <c r="P316" s="59"/>
    </row>
    <row r="317">
      <c r="A317" s="20"/>
      <c r="C317" s="20"/>
      <c r="D317" s="92"/>
      <c r="E317" s="93"/>
      <c r="F317" s="94"/>
      <c r="G317" s="8"/>
      <c r="I317" s="59"/>
      <c r="J317" s="20"/>
      <c r="L317" s="20"/>
      <c r="N317" s="91"/>
      <c r="O317" s="59"/>
      <c r="P317" s="59"/>
    </row>
    <row r="318">
      <c r="A318" s="20"/>
      <c r="C318" s="20"/>
      <c r="D318" s="92"/>
      <c r="E318" s="93"/>
      <c r="F318" s="94"/>
      <c r="G318" s="8"/>
      <c r="I318" s="59"/>
      <c r="J318" s="20"/>
      <c r="L318" s="20"/>
      <c r="N318" s="91"/>
      <c r="O318" s="59"/>
      <c r="P318" s="59"/>
    </row>
    <row r="319">
      <c r="A319" s="20"/>
      <c r="C319" s="20"/>
      <c r="D319" s="92"/>
      <c r="E319" s="93"/>
      <c r="F319" s="94"/>
      <c r="G319" s="8"/>
      <c r="I319" s="59"/>
      <c r="J319" s="20"/>
      <c r="L319" s="20"/>
      <c r="N319" s="91"/>
      <c r="O319" s="59"/>
      <c r="P319" s="59"/>
    </row>
    <row r="320">
      <c r="A320" s="20"/>
      <c r="C320" s="20"/>
      <c r="D320" s="92"/>
      <c r="E320" s="93"/>
      <c r="F320" s="94"/>
      <c r="G320" s="8"/>
      <c r="I320" s="59"/>
      <c r="J320" s="20"/>
      <c r="L320" s="20"/>
      <c r="N320" s="91"/>
      <c r="O320" s="59"/>
      <c r="P320" s="59"/>
    </row>
    <row r="321">
      <c r="A321" s="20"/>
      <c r="C321" s="20"/>
      <c r="D321" s="92"/>
      <c r="E321" s="93"/>
      <c r="F321" s="94"/>
      <c r="G321" s="8"/>
      <c r="I321" s="59"/>
      <c r="J321" s="20"/>
      <c r="L321" s="20"/>
      <c r="N321" s="91"/>
      <c r="O321" s="59"/>
      <c r="P321" s="59"/>
    </row>
    <row r="322">
      <c r="A322" s="20"/>
      <c r="C322" s="20"/>
      <c r="D322" s="92"/>
      <c r="E322" s="93"/>
      <c r="F322" s="94"/>
      <c r="G322" s="8"/>
      <c r="I322" s="59"/>
      <c r="J322" s="20"/>
      <c r="L322" s="20"/>
      <c r="N322" s="91"/>
      <c r="O322" s="59"/>
      <c r="P322" s="59"/>
    </row>
    <row r="323">
      <c r="A323" s="20"/>
      <c r="C323" s="20"/>
      <c r="D323" s="92"/>
      <c r="E323" s="93"/>
      <c r="F323" s="94"/>
      <c r="G323" s="8"/>
      <c r="I323" s="59"/>
      <c r="J323" s="20"/>
      <c r="L323" s="20"/>
      <c r="N323" s="91"/>
      <c r="O323" s="59"/>
      <c r="P323" s="59"/>
    </row>
    <row r="324">
      <c r="A324" s="20"/>
      <c r="C324" s="20"/>
      <c r="D324" s="92"/>
      <c r="E324" s="93"/>
      <c r="F324" s="94"/>
      <c r="G324" s="8"/>
      <c r="I324" s="59"/>
      <c r="J324" s="20"/>
      <c r="L324" s="20"/>
      <c r="N324" s="91"/>
      <c r="O324" s="59"/>
      <c r="P324" s="59"/>
    </row>
    <row r="325">
      <c r="A325" s="20"/>
      <c r="C325" s="20"/>
      <c r="D325" s="92"/>
      <c r="E325" s="93"/>
      <c r="F325" s="94"/>
      <c r="G325" s="8"/>
      <c r="I325" s="59"/>
      <c r="J325" s="20"/>
      <c r="L325" s="20"/>
      <c r="N325" s="91"/>
      <c r="O325" s="59"/>
      <c r="P325" s="59"/>
    </row>
    <row r="326">
      <c r="A326" s="20"/>
      <c r="C326" s="20"/>
      <c r="D326" s="92"/>
      <c r="E326" s="93"/>
      <c r="F326" s="94"/>
      <c r="G326" s="8"/>
      <c r="I326" s="59"/>
      <c r="J326" s="20"/>
      <c r="L326" s="20"/>
      <c r="N326" s="91"/>
      <c r="O326" s="59"/>
      <c r="P326" s="59"/>
    </row>
    <row r="327">
      <c r="A327" s="20"/>
      <c r="C327" s="20"/>
      <c r="D327" s="92"/>
      <c r="E327" s="93"/>
      <c r="F327" s="94"/>
      <c r="G327" s="8"/>
      <c r="I327" s="59"/>
      <c r="J327" s="20"/>
      <c r="L327" s="20"/>
      <c r="N327" s="91"/>
      <c r="O327" s="59"/>
      <c r="P327" s="59"/>
    </row>
    <row r="328">
      <c r="A328" s="20"/>
      <c r="C328" s="20"/>
      <c r="D328" s="92"/>
      <c r="E328" s="93"/>
      <c r="F328" s="94"/>
      <c r="G328" s="8"/>
      <c r="I328" s="59"/>
      <c r="J328" s="20"/>
      <c r="L328" s="20"/>
      <c r="N328" s="91"/>
      <c r="O328" s="59"/>
      <c r="P328" s="59"/>
    </row>
    <row r="329">
      <c r="A329" s="20"/>
      <c r="C329" s="20"/>
      <c r="D329" s="92"/>
      <c r="E329" s="93"/>
      <c r="F329" s="94"/>
      <c r="G329" s="8"/>
      <c r="I329" s="59"/>
      <c r="J329" s="20"/>
      <c r="L329" s="20"/>
      <c r="N329" s="91"/>
      <c r="O329" s="59"/>
      <c r="P329" s="59"/>
    </row>
    <row r="330">
      <c r="A330" s="20"/>
      <c r="C330" s="20"/>
      <c r="D330" s="92"/>
      <c r="E330" s="93"/>
      <c r="F330" s="94"/>
      <c r="G330" s="8"/>
      <c r="I330" s="59"/>
      <c r="J330" s="20"/>
      <c r="L330" s="20"/>
      <c r="N330" s="91"/>
      <c r="O330" s="59"/>
      <c r="P330" s="59"/>
    </row>
    <row r="331">
      <c r="A331" s="20"/>
      <c r="C331" s="20"/>
      <c r="D331" s="92"/>
      <c r="E331" s="93"/>
      <c r="F331" s="94"/>
      <c r="G331" s="8"/>
      <c r="I331" s="59"/>
      <c r="J331" s="20"/>
      <c r="L331" s="20"/>
      <c r="N331" s="91"/>
      <c r="O331" s="59"/>
      <c r="P331" s="59"/>
    </row>
    <row r="332">
      <c r="A332" s="20"/>
      <c r="C332" s="20"/>
      <c r="D332" s="92"/>
      <c r="E332" s="93"/>
      <c r="F332" s="94"/>
      <c r="G332" s="8"/>
      <c r="I332" s="59"/>
      <c r="J332" s="20"/>
      <c r="L332" s="20"/>
      <c r="N332" s="91"/>
      <c r="O332" s="59"/>
      <c r="P332" s="59"/>
    </row>
    <row r="333">
      <c r="A333" s="20"/>
      <c r="C333" s="20"/>
      <c r="D333" s="92"/>
      <c r="E333" s="93"/>
      <c r="F333" s="94"/>
      <c r="G333" s="8"/>
      <c r="I333" s="59"/>
      <c r="J333" s="20"/>
      <c r="L333" s="20"/>
      <c r="N333" s="91"/>
      <c r="O333" s="59"/>
      <c r="P333" s="59"/>
    </row>
    <row r="334">
      <c r="A334" s="20"/>
      <c r="C334" s="20"/>
      <c r="D334" s="92"/>
      <c r="E334" s="93"/>
      <c r="F334" s="94"/>
      <c r="G334" s="8"/>
      <c r="I334" s="59"/>
      <c r="J334" s="20"/>
      <c r="L334" s="20"/>
      <c r="N334" s="91"/>
      <c r="O334" s="59"/>
      <c r="P334" s="59"/>
    </row>
    <row r="335">
      <c r="A335" s="20"/>
      <c r="C335" s="20"/>
      <c r="D335" s="92"/>
      <c r="E335" s="93"/>
      <c r="F335" s="94"/>
      <c r="G335" s="8"/>
      <c r="I335" s="59"/>
      <c r="J335" s="20"/>
      <c r="L335" s="20"/>
      <c r="N335" s="91"/>
      <c r="O335" s="59"/>
      <c r="P335" s="59"/>
    </row>
    <row r="336">
      <c r="A336" s="20"/>
      <c r="C336" s="20"/>
      <c r="D336" s="92"/>
      <c r="E336" s="93"/>
      <c r="F336" s="94"/>
      <c r="G336" s="8"/>
      <c r="I336" s="59"/>
      <c r="J336" s="20"/>
      <c r="L336" s="20"/>
      <c r="N336" s="91"/>
      <c r="O336" s="59"/>
      <c r="P336" s="59"/>
    </row>
    <row r="337">
      <c r="A337" s="20"/>
      <c r="C337" s="20"/>
      <c r="D337" s="92"/>
      <c r="E337" s="93"/>
      <c r="F337" s="94"/>
      <c r="G337" s="8"/>
      <c r="I337" s="59"/>
      <c r="J337" s="20"/>
      <c r="L337" s="20"/>
      <c r="N337" s="91"/>
      <c r="O337" s="59"/>
      <c r="P337" s="59"/>
    </row>
    <row r="338">
      <c r="A338" s="20"/>
      <c r="C338" s="20"/>
      <c r="D338" s="92"/>
      <c r="E338" s="93"/>
      <c r="F338" s="94"/>
      <c r="G338" s="8"/>
      <c r="I338" s="59"/>
      <c r="J338" s="20"/>
      <c r="L338" s="20"/>
      <c r="N338" s="91"/>
      <c r="O338" s="59"/>
      <c r="P338" s="59"/>
    </row>
    <row r="339">
      <c r="A339" s="20"/>
      <c r="C339" s="20"/>
      <c r="D339" s="92"/>
      <c r="E339" s="93"/>
      <c r="F339" s="94"/>
      <c r="G339" s="8"/>
      <c r="I339" s="59"/>
      <c r="J339" s="20"/>
      <c r="L339" s="20"/>
      <c r="N339" s="91"/>
      <c r="O339" s="59"/>
      <c r="P339" s="59"/>
    </row>
    <row r="340">
      <c r="A340" s="20"/>
      <c r="C340" s="20"/>
      <c r="D340" s="92"/>
      <c r="E340" s="93"/>
      <c r="F340" s="94"/>
      <c r="G340" s="8"/>
      <c r="I340" s="59"/>
      <c r="J340" s="20"/>
      <c r="L340" s="20"/>
      <c r="N340" s="91"/>
      <c r="O340" s="59"/>
      <c r="P340" s="59"/>
    </row>
    <row r="341">
      <c r="A341" s="20"/>
      <c r="C341" s="20"/>
      <c r="D341" s="92"/>
      <c r="E341" s="93"/>
      <c r="F341" s="94"/>
      <c r="G341" s="8"/>
      <c r="I341" s="59"/>
      <c r="J341" s="20"/>
      <c r="L341" s="20"/>
      <c r="N341" s="91"/>
      <c r="O341" s="59"/>
      <c r="P341" s="59"/>
    </row>
    <row r="342">
      <c r="A342" s="20"/>
      <c r="C342" s="20"/>
      <c r="D342" s="92"/>
      <c r="E342" s="93"/>
      <c r="F342" s="94"/>
      <c r="G342" s="8"/>
      <c r="I342" s="59"/>
      <c r="J342" s="20"/>
      <c r="L342" s="20"/>
      <c r="N342" s="91"/>
      <c r="O342" s="59"/>
      <c r="P342" s="59"/>
    </row>
    <row r="343">
      <c r="A343" s="20"/>
      <c r="C343" s="20"/>
      <c r="D343" s="92"/>
      <c r="E343" s="93"/>
      <c r="F343" s="94"/>
      <c r="G343" s="8"/>
      <c r="I343" s="59"/>
      <c r="J343" s="20"/>
      <c r="L343" s="20"/>
      <c r="N343" s="91"/>
      <c r="O343" s="59"/>
      <c r="P343" s="59"/>
    </row>
    <row r="344">
      <c r="A344" s="20"/>
      <c r="C344" s="20"/>
      <c r="D344" s="92"/>
      <c r="E344" s="93"/>
      <c r="F344" s="94"/>
      <c r="G344" s="8"/>
      <c r="I344" s="59"/>
      <c r="J344" s="20"/>
      <c r="L344" s="20"/>
      <c r="N344" s="91"/>
      <c r="O344" s="59"/>
      <c r="P344" s="59"/>
    </row>
    <row r="345">
      <c r="A345" s="20"/>
      <c r="C345" s="20"/>
      <c r="D345" s="92"/>
      <c r="E345" s="93"/>
      <c r="F345" s="94"/>
      <c r="G345" s="8"/>
      <c r="I345" s="59"/>
      <c r="J345" s="20"/>
      <c r="L345" s="20"/>
      <c r="N345" s="91"/>
      <c r="O345" s="59"/>
      <c r="P345" s="59"/>
    </row>
    <row r="346">
      <c r="A346" s="20"/>
      <c r="C346" s="20"/>
      <c r="D346" s="92"/>
      <c r="E346" s="93"/>
      <c r="F346" s="94"/>
      <c r="G346" s="8"/>
      <c r="I346" s="59"/>
      <c r="J346" s="20"/>
      <c r="L346" s="20"/>
      <c r="N346" s="91"/>
      <c r="O346" s="59"/>
      <c r="P346" s="59"/>
    </row>
    <row r="347">
      <c r="A347" s="20"/>
      <c r="C347" s="20"/>
      <c r="D347" s="92"/>
      <c r="E347" s="93"/>
      <c r="F347" s="94"/>
      <c r="G347" s="8"/>
      <c r="I347" s="59"/>
      <c r="J347" s="20"/>
      <c r="L347" s="20"/>
      <c r="N347" s="91"/>
      <c r="O347" s="59"/>
      <c r="P347" s="59"/>
    </row>
    <row r="348">
      <c r="A348" s="20"/>
      <c r="C348" s="20"/>
      <c r="D348" s="92"/>
      <c r="E348" s="93"/>
      <c r="F348" s="94"/>
      <c r="G348" s="8"/>
      <c r="I348" s="59"/>
      <c r="J348" s="20"/>
      <c r="L348" s="20"/>
      <c r="N348" s="91"/>
      <c r="O348" s="59"/>
      <c r="P348" s="59"/>
    </row>
    <row r="349">
      <c r="A349" s="20"/>
      <c r="C349" s="20"/>
      <c r="D349" s="92"/>
      <c r="E349" s="93"/>
      <c r="F349" s="94"/>
      <c r="G349" s="8"/>
      <c r="I349" s="59"/>
      <c r="J349" s="20"/>
      <c r="L349" s="20"/>
      <c r="N349" s="91"/>
      <c r="O349" s="59"/>
      <c r="P349" s="59"/>
    </row>
    <row r="350">
      <c r="A350" s="20"/>
      <c r="C350" s="20"/>
      <c r="D350" s="92"/>
      <c r="E350" s="93"/>
      <c r="F350" s="94"/>
      <c r="G350" s="8"/>
      <c r="I350" s="59"/>
      <c r="J350" s="20"/>
      <c r="L350" s="20"/>
      <c r="N350" s="91"/>
      <c r="O350" s="59"/>
      <c r="P350" s="59"/>
    </row>
    <row r="351">
      <c r="A351" s="20"/>
      <c r="C351" s="20"/>
      <c r="D351" s="92"/>
      <c r="E351" s="93"/>
      <c r="F351" s="94"/>
      <c r="G351" s="8"/>
      <c r="I351" s="59"/>
      <c r="J351" s="20"/>
      <c r="L351" s="20"/>
      <c r="N351" s="91"/>
      <c r="O351" s="59"/>
      <c r="P351" s="59"/>
    </row>
    <row r="352">
      <c r="A352" s="20"/>
      <c r="C352" s="20"/>
      <c r="D352" s="92"/>
      <c r="E352" s="93"/>
      <c r="F352" s="94"/>
      <c r="G352" s="8"/>
      <c r="I352" s="59"/>
      <c r="J352" s="20"/>
      <c r="L352" s="20"/>
      <c r="N352" s="91"/>
      <c r="O352" s="59"/>
      <c r="P352" s="59"/>
    </row>
    <row r="353">
      <c r="A353" s="20"/>
      <c r="C353" s="20"/>
      <c r="D353" s="92"/>
      <c r="E353" s="93"/>
      <c r="F353" s="94"/>
      <c r="G353" s="8"/>
      <c r="I353" s="59"/>
      <c r="J353" s="20"/>
      <c r="L353" s="20"/>
      <c r="N353" s="91"/>
      <c r="O353" s="59"/>
      <c r="P353" s="59"/>
    </row>
    <row r="354">
      <c r="A354" s="20"/>
      <c r="C354" s="20"/>
      <c r="D354" s="92"/>
      <c r="E354" s="93"/>
      <c r="F354" s="94"/>
      <c r="G354" s="8"/>
      <c r="I354" s="59"/>
      <c r="J354" s="20"/>
      <c r="L354" s="20"/>
      <c r="N354" s="91"/>
      <c r="O354" s="59"/>
      <c r="P354" s="59"/>
    </row>
    <row r="355">
      <c r="A355" s="20"/>
      <c r="C355" s="20"/>
      <c r="D355" s="92"/>
      <c r="E355" s="93"/>
      <c r="F355" s="94"/>
      <c r="G355" s="8"/>
      <c r="I355" s="59"/>
      <c r="J355" s="20"/>
      <c r="L355" s="20"/>
      <c r="N355" s="91"/>
      <c r="O355" s="59"/>
      <c r="P355" s="59"/>
    </row>
    <row r="356">
      <c r="A356" s="20"/>
      <c r="C356" s="20"/>
      <c r="D356" s="92"/>
      <c r="E356" s="93"/>
      <c r="F356" s="94"/>
      <c r="G356" s="8"/>
      <c r="I356" s="59"/>
      <c r="J356" s="20"/>
      <c r="L356" s="20"/>
      <c r="N356" s="91"/>
      <c r="O356" s="59"/>
      <c r="P356" s="59"/>
    </row>
    <row r="357">
      <c r="A357" s="20"/>
      <c r="C357" s="20"/>
      <c r="D357" s="92"/>
      <c r="E357" s="93"/>
      <c r="F357" s="94"/>
      <c r="G357" s="8"/>
      <c r="I357" s="59"/>
      <c r="J357" s="20"/>
      <c r="L357" s="20"/>
      <c r="N357" s="91"/>
      <c r="O357" s="59"/>
      <c r="P357" s="59"/>
    </row>
    <row r="358">
      <c r="A358" s="20"/>
      <c r="C358" s="20"/>
      <c r="D358" s="92"/>
      <c r="E358" s="93"/>
      <c r="F358" s="94"/>
      <c r="G358" s="8"/>
      <c r="I358" s="59"/>
      <c r="J358" s="20"/>
      <c r="L358" s="20"/>
      <c r="N358" s="91"/>
      <c r="O358" s="59"/>
      <c r="P358" s="59"/>
    </row>
    <row r="359">
      <c r="A359" s="20"/>
      <c r="C359" s="20"/>
      <c r="D359" s="92"/>
      <c r="E359" s="93"/>
      <c r="F359" s="94"/>
      <c r="G359" s="8"/>
      <c r="I359" s="59"/>
      <c r="J359" s="20"/>
      <c r="L359" s="20"/>
      <c r="N359" s="91"/>
      <c r="O359" s="59"/>
      <c r="P359" s="59"/>
    </row>
    <row r="360">
      <c r="A360" s="20"/>
      <c r="C360" s="20"/>
      <c r="D360" s="92"/>
      <c r="E360" s="93"/>
      <c r="F360" s="94"/>
      <c r="G360" s="8"/>
      <c r="I360" s="59"/>
      <c r="J360" s="20"/>
      <c r="L360" s="20"/>
      <c r="N360" s="91"/>
      <c r="O360" s="59"/>
      <c r="P360" s="59"/>
    </row>
    <row r="361">
      <c r="A361" s="20"/>
      <c r="C361" s="20"/>
      <c r="D361" s="92"/>
      <c r="E361" s="93"/>
      <c r="F361" s="94"/>
      <c r="G361" s="8"/>
      <c r="I361" s="59"/>
      <c r="J361" s="20"/>
      <c r="L361" s="20"/>
      <c r="N361" s="91"/>
      <c r="O361" s="59"/>
      <c r="P361" s="59"/>
    </row>
    <row r="362">
      <c r="A362" s="20"/>
      <c r="C362" s="20"/>
      <c r="D362" s="92"/>
      <c r="E362" s="93"/>
      <c r="F362" s="94"/>
      <c r="G362" s="8"/>
      <c r="I362" s="59"/>
      <c r="J362" s="20"/>
      <c r="L362" s="20"/>
      <c r="N362" s="91"/>
      <c r="O362" s="59"/>
      <c r="P362" s="59"/>
    </row>
    <row r="363">
      <c r="A363" s="20"/>
      <c r="C363" s="20"/>
      <c r="D363" s="92"/>
      <c r="E363" s="93"/>
      <c r="F363" s="94"/>
      <c r="G363" s="8"/>
      <c r="I363" s="59"/>
      <c r="J363" s="20"/>
      <c r="L363" s="20"/>
      <c r="N363" s="91"/>
      <c r="O363" s="59"/>
      <c r="P363" s="59"/>
    </row>
    <row r="364">
      <c r="A364" s="20"/>
      <c r="C364" s="20"/>
      <c r="D364" s="92"/>
      <c r="E364" s="93"/>
      <c r="F364" s="94"/>
      <c r="G364" s="8"/>
      <c r="I364" s="59"/>
      <c r="J364" s="20"/>
      <c r="L364" s="20"/>
      <c r="N364" s="91"/>
      <c r="O364" s="59"/>
      <c r="P364" s="59"/>
    </row>
    <row r="365">
      <c r="A365" s="20"/>
      <c r="C365" s="20"/>
      <c r="D365" s="92"/>
      <c r="E365" s="93"/>
      <c r="F365" s="94"/>
      <c r="G365" s="8"/>
      <c r="I365" s="59"/>
      <c r="J365" s="20"/>
      <c r="L365" s="20"/>
      <c r="N365" s="91"/>
      <c r="O365" s="59"/>
      <c r="P365" s="59"/>
    </row>
    <row r="366">
      <c r="A366" s="20"/>
      <c r="C366" s="20"/>
      <c r="D366" s="92"/>
      <c r="E366" s="93"/>
      <c r="F366" s="94"/>
      <c r="G366" s="8"/>
      <c r="I366" s="59"/>
      <c r="J366" s="20"/>
      <c r="L366" s="20"/>
      <c r="N366" s="91"/>
      <c r="O366" s="59"/>
      <c r="P366" s="59"/>
    </row>
    <row r="367">
      <c r="A367" s="20"/>
      <c r="C367" s="20"/>
      <c r="D367" s="92"/>
      <c r="E367" s="93"/>
      <c r="F367" s="94"/>
      <c r="G367" s="8"/>
      <c r="I367" s="59"/>
      <c r="J367" s="20"/>
      <c r="L367" s="20"/>
      <c r="N367" s="91"/>
      <c r="O367" s="59"/>
      <c r="P367" s="59"/>
    </row>
    <row r="368">
      <c r="A368" s="20"/>
      <c r="C368" s="20"/>
      <c r="D368" s="92"/>
      <c r="E368" s="93"/>
      <c r="F368" s="94"/>
      <c r="G368" s="8"/>
      <c r="I368" s="59"/>
      <c r="J368" s="20"/>
      <c r="L368" s="20"/>
      <c r="N368" s="91"/>
      <c r="O368" s="59"/>
      <c r="P368" s="59"/>
    </row>
    <row r="369">
      <c r="A369" s="20"/>
      <c r="C369" s="20"/>
      <c r="D369" s="92"/>
      <c r="E369" s="93"/>
      <c r="F369" s="94"/>
      <c r="G369" s="8"/>
      <c r="I369" s="59"/>
      <c r="J369" s="20"/>
      <c r="L369" s="20"/>
      <c r="N369" s="91"/>
      <c r="O369" s="59"/>
      <c r="P369" s="59"/>
    </row>
    <row r="370">
      <c r="A370" s="20"/>
      <c r="C370" s="20"/>
      <c r="D370" s="92"/>
      <c r="E370" s="93"/>
      <c r="F370" s="94"/>
      <c r="G370" s="8"/>
      <c r="I370" s="59"/>
      <c r="J370" s="20"/>
      <c r="L370" s="20"/>
      <c r="N370" s="91"/>
      <c r="O370" s="59"/>
      <c r="P370" s="59"/>
    </row>
    <row r="371">
      <c r="A371" s="20"/>
      <c r="C371" s="20"/>
      <c r="D371" s="92"/>
      <c r="E371" s="93"/>
      <c r="F371" s="94"/>
      <c r="G371" s="8"/>
      <c r="I371" s="59"/>
      <c r="J371" s="20"/>
      <c r="L371" s="20"/>
      <c r="N371" s="91"/>
      <c r="O371" s="59"/>
      <c r="P371" s="59"/>
    </row>
    <row r="372">
      <c r="A372" s="20"/>
      <c r="C372" s="20"/>
      <c r="D372" s="92"/>
      <c r="E372" s="93"/>
      <c r="F372" s="94"/>
      <c r="G372" s="8"/>
      <c r="I372" s="59"/>
      <c r="J372" s="20"/>
      <c r="L372" s="20"/>
      <c r="N372" s="91"/>
      <c r="O372" s="59"/>
      <c r="P372" s="59"/>
    </row>
    <row r="373">
      <c r="A373" s="20"/>
      <c r="C373" s="20"/>
      <c r="D373" s="92"/>
      <c r="E373" s="93"/>
      <c r="F373" s="94"/>
      <c r="G373" s="8"/>
      <c r="I373" s="59"/>
      <c r="J373" s="20"/>
      <c r="L373" s="20"/>
      <c r="N373" s="91"/>
      <c r="O373" s="59"/>
      <c r="P373" s="59"/>
    </row>
    <row r="374">
      <c r="A374" s="20"/>
      <c r="C374" s="20"/>
      <c r="D374" s="92"/>
      <c r="E374" s="93"/>
      <c r="F374" s="94"/>
      <c r="G374" s="8"/>
      <c r="I374" s="59"/>
      <c r="J374" s="20"/>
      <c r="L374" s="20"/>
      <c r="N374" s="91"/>
      <c r="O374" s="59"/>
      <c r="P374" s="59"/>
    </row>
    <row r="375">
      <c r="A375" s="20"/>
      <c r="C375" s="20"/>
      <c r="D375" s="92"/>
      <c r="E375" s="93"/>
      <c r="F375" s="94"/>
      <c r="G375" s="8"/>
      <c r="I375" s="59"/>
      <c r="J375" s="20"/>
      <c r="L375" s="20"/>
      <c r="N375" s="91"/>
      <c r="O375" s="59"/>
      <c r="P375" s="59"/>
    </row>
    <row r="376">
      <c r="A376" s="20"/>
      <c r="C376" s="20"/>
      <c r="D376" s="92"/>
      <c r="E376" s="93"/>
      <c r="F376" s="94"/>
      <c r="G376" s="8"/>
      <c r="I376" s="59"/>
      <c r="J376" s="20"/>
      <c r="L376" s="20"/>
      <c r="N376" s="91"/>
      <c r="O376" s="59"/>
      <c r="P376" s="59"/>
    </row>
    <row r="377">
      <c r="A377" s="20"/>
      <c r="C377" s="20"/>
      <c r="D377" s="92"/>
      <c r="E377" s="93"/>
      <c r="F377" s="94"/>
      <c r="G377" s="8"/>
      <c r="I377" s="59"/>
      <c r="J377" s="20"/>
      <c r="L377" s="20"/>
      <c r="N377" s="91"/>
      <c r="O377" s="59"/>
      <c r="P377" s="59"/>
    </row>
    <row r="378">
      <c r="A378" s="20"/>
      <c r="C378" s="20"/>
      <c r="D378" s="92"/>
      <c r="E378" s="93"/>
      <c r="F378" s="94"/>
      <c r="G378" s="8"/>
      <c r="I378" s="59"/>
      <c r="J378" s="20"/>
      <c r="L378" s="20"/>
      <c r="N378" s="91"/>
      <c r="O378" s="59"/>
      <c r="P378" s="59"/>
    </row>
    <row r="379">
      <c r="A379" s="20"/>
      <c r="C379" s="20"/>
      <c r="D379" s="92"/>
      <c r="E379" s="93"/>
      <c r="F379" s="94"/>
      <c r="G379" s="8"/>
      <c r="I379" s="59"/>
      <c r="J379" s="20"/>
      <c r="L379" s="20"/>
      <c r="N379" s="91"/>
      <c r="O379" s="59"/>
      <c r="P379" s="59"/>
    </row>
    <row r="380">
      <c r="A380" s="20"/>
      <c r="C380" s="20"/>
      <c r="D380" s="92"/>
      <c r="E380" s="93"/>
      <c r="F380" s="94"/>
      <c r="G380" s="8"/>
      <c r="I380" s="59"/>
      <c r="J380" s="20"/>
      <c r="L380" s="20"/>
      <c r="N380" s="91"/>
      <c r="O380" s="59"/>
      <c r="P380" s="59"/>
    </row>
    <row r="381">
      <c r="A381" s="20"/>
      <c r="C381" s="20"/>
      <c r="D381" s="92"/>
      <c r="E381" s="93"/>
      <c r="F381" s="94"/>
      <c r="G381" s="8"/>
      <c r="I381" s="59"/>
      <c r="J381" s="20"/>
      <c r="L381" s="20"/>
      <c r="N381" s="91"/>
      <c r="O381" s="59"/>
      <c r="P381" s="59"/>
    </row>
    <row r="382">
      <c r="A382" s="20"/>
      <c r="C382" s="20"/>
      <c r="D382" s="92"/>
      <c r="E382" s="93"/>
      <c r="F382" s="94"/>
      <c r="G382" s="8"/>
      <c r="I382" s="59"/>
      <c r="J382" s="20"/>
      <c r="L382" s="20"/>
      <c r="N382" s="91"/>
      <c r="O382" s="59"/>
      <c r="P382" s="59"/>
    </row>
    <row r="383">
      <c r="A383" s="20"/>
      <c r="C383" s="20"/>
      <c r="D383" s="92"/>
      <c r="E383" s="93"/>
      <c r="F383" s="94"/>
      <c r="G383" s="8"/>
      <c r="I383" s="59"/>
      <c r="J383" s="20"/>
      <c r="L383" s="20"/>
      <c r="N383" s="91"/>
      <c r="O383" s="59"/>
      <c r="P383" s="59"/>
    </row>
    <row r="384">
      <c r="A384" s="20"/>
      <c r="C384" s="20"/>
      <c r="D384" s="92"/>
      <c r="E384" s="93"/>
      <c r="F384" s="94"/>
      <c r="G384" s="8"/>
      <c r="I384" s="59"/>
      <c r="J384" s="20"/>
      <c r="L384" s="20"/>
      <c r="N384" s="91"/>
      <c r="O384" s="59"/>
      <c r="P384" s="59"/>
    </row>
    <row r="385">
      <c r="A385" s="20"/>
      <c r="C385" s="20"/>
      <c r="D385" s="92"/>
      <c r="E385" s="93"/>
      <c r="F385" s="94"/>
      <c r="G385" s="8"/>
      <c r="I385" s="59"/>
      <c r="J385" s="20"/>
      <c r="L385" s="20"/>
      <c r="N385" s="91"/>
      <c r="O385" s="59"/>
      <c r="P385" s="59"/>
    </row>
    <row r="386">
      <c r="A386" s="20"/>
      <c r="C386" s="20"/>
      <c r="D386" s="92"/>
      <c r="E386" s="93"/>
      <c r="F386" s="94"/>
      <c r="G386" s="8"/>
      <c r="I386" s="59"/>
      <c r="J386" s="20"/>
      <c r="L386" s="20"/>
      <c r="N386" s="91"/>
      <c r="O386" s="59"/>
      <c r="P386" s="59"/>
    </row>
    <row r="387">
      <c r="A387" s="20"/>
      <c r="C387" s="20"/>
      <c r="D387" s="92"/>
      <c r="E387" s="93"/>
      <c r="F387" s="94"/>
      <c r="G387" s="8"/>
      <c r="I387" s="59"/>
      <c r="J387" s="20"/>
      <c r="L387" s="20"/>
      <c r="N387" s="91"/>
      <c r="O387" s="59"/>
      <c r="P387" s="59"/>
    </row>
    <row r="388">
      <c r="A388" s="20"/>
      <c r="C388" s="20"/>
      <c r="D388" s="92"/>
      <c r="E388" s="93"/>
      <c r="F388" s="94"/>
      <c r="G388" s="8"/>
      <c r="I388" s="59"/>
      <c r="J388" s="20"/>
      <c r="L388" s="20"/>
      <c r="N388" s="91"/>
      <c r="O388" s="59"/>
      <c r="P388" s="59"/>
    </row>
    <row r="389">
      <c r="A389" s="20"/>
      <c r="C389" s="20"/>
      <c r="D389" s="92"/>
      <c r="E389" s="93"/>
      <c r="F389" s="94"/>
      <c r="G389" s="8"/>
      <c r="I389" s="59"/>
      <c r="J389" s="20"/>
      <c r="L389" s="20"/>
      <c r="N389" s="91"/>
      <c r="O389" s="59"/>
      <c r="P389" s="59"/>
    </row>
    <row r="390">
      <c r="A390" s="20"/>
      <c r="C390" s="20"/>
      <c r="D390" s="92"/>
      <c r="E390" s="93"/>
      <c r="F390" s="94"/>
      <c r="G390" s="8"/>
      <c r="I390" s="59"/>
      <c r="J390" s="20"/>
      <c r="L390" s="20"/>
      <c r="N390" s="91"/>
      <c r="O390" s="59"/>
      <c r="P390" s="59"/>
    </row>
    <row r="391">
      <c r="A391" s="20"/>
      <c r="C391" s="20"/>
      <c r="D391" s="92"/>
      <c r="E391" s="93"/>
      <c r="F391" s="94"/>
      <c r="G391" s="8"/>
      <c r="I391" s="59"/>
      <c r="J391" s="20"/>
      <c r="L391" s="20"/>
      <c r="N391" s="91"/>
      <c r="O391" s="59"/>
      <c r="P391" s="59"/>
    </row>
    <row r="392">
      <c r="A392" s="20"/>
      <c r="C392" s="20"/>
      <c r="D392" s="92"/>
      <c r="E392" s="93"/>
      <c r="F392" s="94"/>
      <c r="G392" s="8"/>
      <c r="I392" s="59"/>
      <c r="J392" s="20"/>
      <c r="L392" s="20"/>
      <c r="N392" s="91"/>
      <c r="O392" s="59"/>
      <c r="P392" s="59"/>
    </row>
    <row r="393">
      <c r="A393" s="20"/>
      <c r="C393" s="20"/>
      <c r="D393" s="92"/>
      <c r="E393" s="93"/>
      <c r="F393" s="94"/>
      <c r="G393" s="8"/>
      <c r="I393" s="59"/>
      <c r="J393" s="20"/>
      <c r="L393" s="20"/>
      <c r="N393" s="91"/>
      <c r="O393" s="59"/>
      <c r="P393" s="59"/>
    </row>
    <row r="394">
      <c r="A394" s="20"/>
      <c r="C394" s="20"/>
      <c r="D394" s="92"/>
      <c r="E394" s="93"/>
      <c r="F394" s="94"/>
      <c r="G394" s="8"/>
      <c r="I394" s="59"/>
      <c r="J394" s="20"/>
      <c r="L394" s="20"/>
      <c r="N394" s="91"/>
      <c r="O394" s="59"/>
      <c r="P394" s="59"/>
    </row>
    <row r="395">
      <c r="A395" s="20"/>
      <c r="C395" s="20"/>
      <c r="D395" s="92"/>
      <c r="E395" s="93"/>
      <c r="F395" s="94"/>
      <c r="G395" s="8"/>
      <c r="I395" s="59"/>
      <c r="J395" s="20"/>
      <c r="L395" s="20"/>
      <c r="N395" s="91"/>
      <c r="O395" s="59"/>
      <c r="P395" s="59"/>
    </row>
    <row r="396">
      <c r="A396" s="20"/>
      <c r="C396" s="20"/>
      <c r="D396" s="92"/>
      <c r="E396" s="93"/>
      <c r="F396" s="94"/>
      <c r="G396" s="8"/>
      <c r="I396" s="59"/>
      <c r="J396" s="20"/>
      <c r="L396" s="20"/>
      <c r="N396" s="91"/>
      <c r="O396" s="59"/>
      <c r="P396" s="59"/>
    </row>
    <row r="397">
      <c r="A397" s="20"/>
      <c r="C397" s="20"/>
      <c r="D397" s="92"/>
      <c r="E397" s="93"/>
      <c r="F397" s="94"/>
      <c r="G397" s="8"/>
      <c r="I397" s="59"/>
      <c r="J397" s="20"/>
      <c r="L397" s="20"/>
      <c r="N397" s="91"/>
      <c r="O397" s="59"/>
      <c r="P397" s="59"/>
    </row>
    <row r="398">
      <c r="A398" s="20"/>
      <c r="C398" s="20"/>
      <c r="D398" s="92"/>
      <c r="E398" s="93"/>
      <c r="F398" s="94"/>
      <c r="G398" s="8"/>
      <c r="I398" s="59"/>
      <c r="J398" s="20"/>
      <c r="L398" s="20"/>
      <c r="N398" s="91"/>
      <c r="O398" s="59"/>
      <c r="P398" s="59"/>
    </row>
    <row r="399">
      <c r="A399" s="20"/>
      <c r="C399" s="20"/>
      <c r="D399" s="92"/>
      <c r="E399" s="93"/>
      <c r="F399" s="94"/>
      <c r="G399" s="8"/>
      <c r="I399" s="59"/>
      <c r="J399" s="20"/>
      <c r="L399" s="20"/>
      <c r="N399" s="91"/>
      <c r="O399" s="59"/>
      <c r="P399" s="59"/>
    </row>
    <row r="400">
      <c r="A400" s="20"/>
      <c r="C400" s="20"/>
      <c r="D400" s="92"/>
      <c r="E400" s="93"/>
      <c r="F400" s="94"/>
      <c r="G400" s="8"/>
      <c r="I400" s="59"/>
      <c r="J400" s="20"/>
      <c r="L400" s="20"/>
      <c r="N400" s="91"/>
      <c r="O400" s="59"/>
      <c r="P400" s="59"/>
    </row>
    <row r="401">
      <c r="A401" s="20"/>
      <c r="C401" s="20"/>
      <c r="D401" s="92"/>
      <c r="E401" s="93"/>
      <c r="F401" s="94"/>
      <c r="G401" s="8"/>
      <c r="I401" s="59"/>
      <c r="J401" s="20"/>
      <c r="L401" s="20"/>
      <c r="N401" s="91"/>
      <c r="O401" s="59"/>
      <c r="P401" s="59"/>
    </row>
    <row r="402">
      <c r="A402" s="20"/>
      <c r="C402" s="20"/>
      <c r="D402" s="92"/>
      <c r="E402" s="93"/>
      <c r="F402" s="94"/>
      <c r="G402" s="8"/>
      <c r="I402" s="59"/>
      <c r="J402" s="20"/>
      <c r="L402" s="20"/>
      <c r="N402" s="91"/>
      <c r="O402" s="59"/>
      <c r="P402" s="59"/>
    </row>
    <row r="403">
      <c r="A403" s="20"/>
      <c r="C403" s="20"/>
      <c r="D403" s="92"/>
      <c r="E403" s="93"/>
      <c r="F403" s="94"/>
      <c r="G403" s="8"/>
      <c r="I403" s="59"/>
      <c r="J403" s="20"/>
      <c r="L403" s="20"/>
      <c r="N403" s="91"/>
      <c r="O403" s="59"/>
      <c r="P403" s="59"/>
    </row>
    <row r="404">
      <c r="A404" s="20"/>
      <c r="C404" s="20"/>
      <c r="D404" s="92"/>
      <c r="E404" s="93"/>
      <c r="F404" s="94"/>
      <c r="G404" s="8"/>
      <c r="I404" s="59"/>
      <c r="J404" s="20"/>
      <c r="L404" s="20"/>
      <c r="N404" s="91"/>
      <c r="O404" s="59"/>
      <c r="P404" s="59"/>
    </row>
    <row r="405">
      <c r="A405" s="20"/>
      <c r="C405" s="20"/>
      <c r="D405" s="92"/>
      <c r="E405" s="93"/>
      <c r="F405" s="94"/>
      <c r="G405" s="8"/>
      <c r="I405" s="59"/>
      <c r="J405" s="20"/>
      <c r="L405" s="20"/>
      <c r="N405" s="91"/>
      <c r="O405" s="59"/>
      <c r="P405" s="59"/>
    </row>
    <row r="406">
      <c r="A406" s="20"/>
      <c r="C406" s="20"/>
      <c r="D406" s="92"/>
      <c r="E406" s="93"/>
      <c r="F406" s="94"/>
      <c r="G406" s="8"/>
      <c r="I406" s="59"/>
      <c r="J406" s="20"/>
      <c r="L406" s="20"/>
      <c r="N406" s="91"/>
      <c r="O406" s="59"/>
      <c r="P406" s="59"/>
    </row>
    <row r="407">
      <c r="A407" s="20"/>
      <c r="C407" s="20"/>
      <c r="D407" s="92"/>
      <c r="E407" s="93"/>
      <c r="F407" s="94"/>
      <c r="G407" s="8"/>
      <c r="I407" s="59"/>
      <c r="J407" s="20"/>
      <c r="L407" s="20"/>
      <c r="N407" s="91"/>
      <c r="O407" s="59"/>
      <c r="P407" s="59"/>
    </row>
    <row r="408">
      <c r="A408" s="20"/>
      <c r="C408" s="20"/>
      <c r="D408" s="92"/>
      <c r="E408" s="93"/>
      <c r="F408" s="94"/>
      <c r="G408" s="8"/>
      <c r="I408" s="59"/>
      <c r="J408" s="20"/>
      <c r="L408" s="20"/>
      <c r="N408" s="91"/>
      <c r="O408" s="59"/>
      <c r="P408" s="59"/>
    </row>
    <row r="409">
      <c r="A409" s="20"/>
      <c r="C409" s="20"/>
      <c r="D409" s="92"/>
      <c r="E409" s="93"/>
      <c r="F409" s="94"/>
      <c r="G409" s="8"/>
      <c r="I409" s="59"/>
      <c r="J409" s="20"/>
      <c r="L409" s="20"/>
      <c r="N409" s="91"/>
      <c r="O409" s="59"/>
      <c r="P409" s="59"/>
    </row>
    <row r="410">
      <c r="A410" s="20"/>
      <c r="C410" s="20"/>
      <c r="D410" s="92"/>
      <c r="E410" s="93"/>
      <c r="F410" s="94"/>
      <c r="G410" s="8"/>
      <c r="I410" s="59"/>
      <c r="J410" s="20"/>
      <c r="L410" s="20"/>
      <c r="N410" s="91"/>
      <c r="O410" s="59"/>
      <c r="P410" s="59"/>
    </row>
    <row r="411">
      <c r="A411" s="20"/>
      <c r="C411" s="20"/>
      <c r="D411" s="92"/>
      <c r="E411" s="93"/>
      <c r="F411" s="94"/>
      <c r="G411" s="8"/>
      <c r="I411" s="59"/>
      <c r="J411" s="20"/>
      <c r="L411" s="20"/>
      <c r="N411" s="91"/>
      <c r="O411" s="59"/>
      <c r="P411" s="59"/>
    </row>
    <row r="412">
      <c r="A412" s="20"/>
      <c r="C412" s="20"/>
      <c r="D412" s="92"/>
      <c r="E412" s="93"/>
      <c r="F412" s="94"/>
      <c r="G412" s="8"/>
      <c r="I412" s="59"/>
      <c r="J412" s="20"/>
      <c r="L412" s="20"/>
      <c r="N412" s="91"/>
      <c r="O412" s="59"/>
      <c r="P412" s="59"/>
    </row>
    <row r="413">
      <c r="A413" s="20"/>
      <c r="C413" s="20"/>
      <c r="D413" s="92"/>
      <c r="E413" s="93"/>
      <c r="F413" s="94"/>
      <c r="G413" s="8"/>
      <c r="I413" s="59"/>
      <c r="J413" s="20"/>
      <c r="L413" s="20"/>
      <c r="N413" s="91"/>
      <c r="O413" s="59"/>
      <c r="P413" s="59"/>
    </row>
    <row r="414">
      <c r="A414" s="20"/>
      <c r="C414" s="20"/>
      <c r="D414" s="92"/>
      <c r="E414" s="93"/>
      <c r="F414" s="94"/>
      <c r="G414" s="8"/>
      <c r="I414" s="59"/>
      <c r="J414" s="20"/>
      <c r="L414" s="20"/>
      <c r="N414" s="91"/>
      <c r="O414" s="59"/>
      <c r="P414" s="59"/>
    </row>
    <row r="415">
      <c r="A415" s="20"/>
      <c r="C415" s="20"/>
      <c r="D415" s="92"/>
      <c r="E415" s="93"/>
      <c r="F415" s="94"/>
      <c r="G415" s="8"/>
      <c r="I415" s="59"/>
      <c r="J415" s="20"/>
      <c r="L415" s="20"/>
      <c r="N415" s="91"/>
      <c r="O415" s="59"/>
      <c r="P415" s="59"/>
    </row>
    <row r="416">
      <c r="A416" s="20"/>
      <c r="C416" s="20"/>
      <c r="D416" s="92"/>
      <c r="E416" s="93"/>
      <c r="F416" s="94"/>
      <c r="G416" s="8"/>
      <c r="I416" s="59"/>
      <c r="J416" s="20"/>
      <c r="L416" s="20"/>
      <c r="N416" s="91"/>
      <c r="O416" s="59"/>
      <c r="P416" s="59"/>
    </row>
    <row r="417">
      <c r="A417" s="20"/>
      <c r="C417" s="20"/>
      <c r="D417" s="92"/>
      <c r="E417" s="93"/>
      <c r="F417" s="94"/>
      <c r="G417" s="8"/>
      <c r="I417" s="59"/>
      <c r="J417" s="20"/>
      <c r="L417" s="20"/>
      <c r="N417" s="91"/>
      <c r="O417" s="59"/>
      <c r="P417" s="59"/>
    </row>
    <row r="418">
      <c r="A418" s="20"/>
      <c r="C418" s="20"/>
      <c r="D418" s="92"/>
      <c r="E418" s="93"/>
      <c r="F418" s="94"/>
      <c r="G418" s="8"/>
      <c r="I418" s="59"/>
      <c r="J418" s="20"/>
      <c r="L418" s="20"/>
      <c r="N418" s="91"/>
      <c r="O418" s="59"/>
      <c r="P418" s="59"/>
    </row>
    <row r="419">
      <c r="A419" s="20"/>
      <c r="C419" s="20"/>
      <c r="D419" s="92"/>
      <c r="E419" s="93"/>
      <c r="F419" s="94"/>
      <c r="G419" s="8"/>
      <c r="I419" s="59"/>
      <c r="J419" s="20"/>
      <c r="L419" s="20"/>
      <c r="N419" s="91"/>
      <c r="O419" s="59"/>
      <c r="P419" s="59"/>
    </row>
    <row r="420">
      <c r="A420" s="20"/>
      <c r="C420" s="20"/>
      <c r="D420" s="92"/>
      <c r="E420" s="93"/>
      <c r="F420" s="94"/>
      <c r="G420" s="8"/>
      <c r="I420" s="59"/>
      <c r="J420" s="20"/>
      <c r="L420" s="20"/>
      <c r="N420" s="91"/>
      <c r="O420" s="59"/>
      <c r="P420" s="59"/>
    </row>
    <row r="421">
      <c r="A421" s="20"/>
      <c r="C421" s="20"/>
      <c r="D421" s="92"/>
      <c r="E421" s="93"/>
      <c r="F421" s="94"/>
      <c r="G421" s="8"/>
      <c r="I421" s="59"/>
      <c r="J421" s="20"/>
      <c r="L421" s="20"/>
      <c r="N421" s="91"/>
      <c r="O421" s="59"/>
      <c r="P421" s="59"/>
    </row>
    <row r="422">
      <c r="A422" s="20"/>
      <c r="C422" s="20"/>
      <c r="D422" s="92"/>
      <c r="E422" s="93"/>
      <c r="F422" s="94"/>
      <c r="G422" s="8"/>
      <c r="I422" s="59"/>
      <c r="J422" s="20"/>
      <c r="L422" s="20"/>
      <c r="N422" s="91"/>
      <c r="O422" s="59"/>
      <c r="P422" s="59"/>
    </row>
    <row r="423">
      <c r="A423" s="20"/>
      <c r="C423" s="20"/>
      <c r="D423" s="92"/>
      <c r="E423" s="93"/>
      <c r="F423" s="94"/>
      <c r="G423" s="8"/>
      <c r="I423" s="59"/>
      <c r="J423" s="20"/>
      <c r="L423" s="20"/>
      <c r="N423" s="91"/>
      <c r="O423" s="59"/>
      <c r="P423" s="59"/>
    </row>
    <row r="424">
      <c r="A424" s="20"/>
      <c r="C424" s="20"/>
      <c r="D424" s="92"/>
      <c r="E424" s="93"/>
      <c r="F424" s="94"/>
      <c r="G424" s="8"/>
      <c r="I424" s="59"/>
      <c r="J424" s="20"/>
      <c r="L424" s="20"/>
      <c r="N424" s="91"/>
      <c r="O424" s="59"/>
      <c r="P424" s="59"/>
    </row>
    <row r="425">
      <c r="A425" s="20"/>
      <c r="C425" s="20"/>
      <c r="D425" s="92"/>
      <c r="E425" s="93"/>
      <c r="F425" s="94"/>
      <c r="G425" s="8"/>
      <c r="I425" s="59"/>
      <c r="J425" s="20"/>
      <c r="L425" s="20"/>
      <c r="N425" s="91"/>
      <c r="O425" s="59"/>
      <c r="P425" s="59"/>
    </row>
    <row r="426">
      <c r="A426" s="20"/>
      <c r="C426" s="20"/>
      <c r="D426" s="92"/>
      <c r="E426" s="93"/>
      <c r="F426" s="94"/>
      <c r="G426" s="8"/>
      <c r="I426" s="59"/>
      <c r="J426" s="20"/>
      <c r="L426" s="20"/>
      <c r="N426" s="91"/>
      <c r="O426" s="59"/>
      <c r="P426" s="59"/>
    </row>
    <row r="427">
      <c r="A427" s="20"/>
      <c r="C427" s="20"/>
      <c r="D427" s="92"/>
      <c r="E427" s="93"/>
      <c r="F427" s="94"/>
      <c r="G427" s="8"/>
      <c r="I427" s="59"/>
      <c r="J427" s="20"/>
      <c r="L427" s="20"/>
      <c r="N427" s="91"/>
      <c r="O427" s="59"/>
      <c r="P427" s="59"/>
    </row>
    <row r="428">
      <c r="A428" s="20"/>
      <c r="C428" s="20"/>
      <c r="D428" s="92"/>
      <c r="E428" s="93"/>
      <c r="F428" s="94"/>
      <c r="G428" s="8"/>
      <c r="I428" s="59"/>
      <c r="J428" s="20"/>
      <c r="L428" s="20"/>
      <c r="N428" s="91"/>
      <c r="O428" s="59"/>
      <c r="P428" s="59"/>
    </row>
    <row r="429">
      <c r="A429" s="20"/>
      <c r="C429" s="20"/>
      <c r="D429" s="92"/>
      <c r="E429" s="93"/>
      <c r="F429" s="94"/>
      <c r="G429" s="8"/>
      <c r="I429" s="59"/>
      <c r="J429" s="20"/>
      <c r="L429" s="20"/>
      <c r="N429" s="91"/>
      <c r="O429" s="59"/>
      <c r="P429" s="59"/>
    </row>
    <row r="430">
      <c r="A430" s="20"/>
      <c r="C430" s="20"/>
      <c r="D430" s="92"/>
      <c r="E430" s="93"/>
      <c r="F430" s="94"/>
      <c r="G430" s="8"/>
      <c r="I430" s="59"/>
      <c r="J430" s="20"/>
      <c r="L430" s="20"/>
      <c r="N430" s="91"/>
      <c r="O430" s="59"/>
      <c r="P430" s="59"/>
    </row>
    <row r="431">
      <c r="A431" s="20"/>
      <c r="C431" s="20"/>
      <c r="D431" s="92"/>
      <c r="E431" s="93"/>
      <c r="F431" s="94"/>
      <c r="G431" s="8"/>
      <c r="I431" s="59"/>
      <c r="J431" s="20"/>
      <c r="L431" s="20"/>
      <c r="N431" s="91"/>
      <c r="O431" s="59"/>
      <c r="P431" s="59"/>
    </row>
    <row r="432">
      <c r="A432" s="20"/>
      <c r="C432" s="20"/>
      <c r="D432" s="92"/>
      <c r="E432" s="93"/>
      <c r="F432" s="94"/>
      <c r="G432" s="8"/>
      <c r="I432" s="59"/>
      <c r="J432" s="20"/>
      <c r="L432" s="20"/>
      <c r="N432" s="91"/>
      <c r="O432" s="59"/>
      <c r="P432" s="59"/>
    </row>
    <row r="433">
      <c r="A433" s="20"/>
      <c r="C433" s="20"/>
      <c r="D433" s="92"/>
      <c r="E433" s="93"/>
      <c r="F433" s="94"/>
      <c r="G433" s="8"/>
      <c r="I433" s="59"/>
      <c r="J433" s="20"/>
      <c r="L433" s="20"/>
      <c r="N433" s="91"/>
      <c r="O433" s="59"/>
      <c r="P433" s="59"/>
    </row>
    <row r="434">
      <c r="A434" s="20"/>
      <c r="C434" s="20"/>
      <c r="D434" s="92"/>
      <c r="E434" s="93"/>
      <c r="F434" s="94"/>
      <c r="G434" s="8"/>
      <c r="I434" s="59"/>
      <c r="J434" s="20"/>
      <c r="L434" s="20"/>
      <c r="N434" s="91"/>
      <c r="O434" s="59"/>
      <c r="P434" s="59"/>
    </row>
    <row r="435">
      <c r="A435" s="20"/>
      <c r="C435" s="20"/>
      <c r="D435" s="92"/>
      <c r="E435" s="93"/>
      <c r="F435" s="94"/>
      <c r="G435" s="8"/>
      <c r="I435" s="59"/>
      <c r="J435" s="20"/>
      <c r="L435" s="20"/>
      <c r="N435" s="91"/>
      <c r="O435" s="59"/>
      <c r="P435" s="59"/>
    </row>
    <row r="436">
      <c r="A436" s="20"/>
      <c r="C436" s="20"/>
      <c r="D436" s="92"/>
      <c r="E436" s="93"/>
      <c r="F436" s="94"/>
      <c r="G436" s="8"/>
      <c r="I436" s="59"/>
      <c r="J436" s="20"/>
      <c r="L436" s="20"/>
      <c r="N436" s="91"/>
      <c r="O436" s="59"/>
      <c r="P436" s="59"/>
    </row>
    <row r="437">
      <c r="A437" s="20"/>
      <c r="C437" s="20"/>
      <c r="D437" s="92"/>
      <c r="E437" s="93"/>
      <c r="F437" s="94"/>
      <c r="G437" s="8"/>
      <c r="I437" s="59"/>
      <c r="J437" s="20"/>
      <c r="L437" s="20"/>
      <c r="N437" s="91"/>
      <c r="O437" s="59"/>
      <c r="P437" s="59"/>
    </row>
    <row r="438">
      <c r="A438" s="20"/>
      <c r="C438" s="20"/>
      <c r="D438" s="92"/>
      <c r="E438" s="93"/>
      <c r="F438" s="94"/>
      <c r="G438" s="8"/>
      <c r="I438" s="59"/>
      <c r="J438" s="20"/>
      <c r="L438" s="20"/>
      <c r="N438" s="91"/>
      <c r="O438" s="59"/>
      <c r="P438" s="59"/>
    </row>
    <row r="439">
      <c r="A439" s="20"/>
      <c r="C439" s="20"/>
      <c r="D439" s="92"/>
      <c r="E439" s="93"/>
      <c r="F439" s="94"/>
      <c r="G439" s="8"/>
      <c r="I439" s="59"/>
      <c r="J439" s="20"/>
      <c r="L439" s="20"/>
      <c r="N439" s="91"/>
      <c r="O439" s="59"/>
      <c r="P439" s="59"/>
    </row>
    <row r="440">
      <c r="A440" s="20"/>
      <c r="C440" s="20"/>
      <c r="D440" s="92"/>
      <c r="E440" s="93"/>
      <c r="F440" s="94"/>
      <c r="G440" s="8"/>
      <c r="I440" s="59"/>
      <c r="J440" s="20"/>
      <c r="L440" s="20"/>
      <c r="N440" s="91"/>
      <c r="O440" s="59"/>
      <c r="P440" s="59"/>
    </row>
    <row r="441">
      <c r="A441" s="20"/>
      <c r="C441" s="20"/>
      <c r="D441" s="92"/>
      <c r="E441" s="93"/>
      <c r="F441" s="94"/>
      <c r="G441" s="8"/>
      <c r="I441" s="59"/>
      <c r="J441" s="20"/>
      <c r="L441" s="20"/>
      <c r="N441" s="91"/>
      <c r="O441" s="59"/>
      <c r="P441" s="59"/>
    </row>
    <row r="442">
      <c r="A442" s="20"/>
      <c r="C442" s="20"/>
      <c r="D442" s="92"/>
      <c r="E442" s="93"/>
      <c r="F442" s="94"/>
      <c r="G442" s="8"/>
      <c r="I442" s="59"/>
      <c r="J442" s="20"/>
      <c r="L442" s="20"/>
      <c r="N442" s="91"/>
      <c r="O442" s="59"/>
      <c r="P442" s="59"/>
    </row>
    <row r="443">
      <c r="A443" s="20"/>
      <c r="C443" s="20"/>
      <c r="D443" s="92"/>
      <c r="E443" s="93"/>
      <c r="F443" s="94"/>
      <c r="G443" s="8"/>
      <c r="I443" s="59"/>
      <c r="J443" s="20"/>
      <c r="L443" s="20"/>
      <c r="N443" s="91"/>
      <c r="O443" s="59"/>
      <c r="P443" s="59"/>
    </row>
    <row r="444">
      <c r="A444" s="20"/>
      <c r="C444" s="20"/>
      <c r="D444" s="92"/>
      <c r="E444" s="93"/>
      <c r="F444" s="94"/>
      <c r="G444" s="8"/>
      <c r="I444" s="59"/>
      <c r="J444" s="20"/>
      <c r="L444" s="20"/>
      <c r="N444" s="91"/>
      <c r="O444" s="59"/>
      <c r="P444" s="59"/>
    </row>
    <row r="445">
      <c r="A445" s="20"/>
      <c r="C445" s="20"/>
      <c r="D445" s="92"/>
      <c r="E445" s="93"/>
      <c r="F445" s="94"/>
      <c r="G445" s="8"/>
      <c r="I445" s="59"/>
      <c r="J445" s="20"/>
      <c r="L445" s="20"/>
      <c r="N445" s="91"/>
      <c r="O445" s="59"/>
      <c r="P445" s="59"/>
    </row>
    <row r="446">
      <c r="A446" s="20"/>
      <c r="C446" s="20"/>
      <c r="D446" s="92"/>
      <c r="E446" s="93"/>
      <c r="F446" s="94"/>
      <c r="G446" s="8"/>
      <c r="I446" s="59"/>
      <c r="J446" s="20"/>
      <c r="L446" s="20"/>
      <c r="N446" s="91"/>
      <c r="O446" s="59"/>
      <c r="P446" s="59"/>
    </row>
    <row r="447">
      <c r="A447" s="20"/>
      <c r="C447" s="20"/>
      <c r="D447" s="92"/>
      <c r="E447" s="93"/>
      <c r="F447" s="94"/>
      <c r="G447" s="8"/>
      <c r="I447" s="59"/>
      <c r="J447" s="20"/>
      <c r="L447" s="20"/>
      <c r="N447" s="91"/>
      <c r="O447" s="59"/>
      <c r="P447" s="59"/>
    </row>
    <row r="448">
      <c r="A448" s="20"/>
      <c r="C448" s="20"/>
      <c r="D448" s="92"/>
      <c r="E448" s="93"/>
      <c r="F448" s="94"/>
      <c r="G448" s="8"/>
      <c r="I448" s="59"/>
      <c r="J448" s="20"/>
      <c r="L448" s="20"/>
      <c r="N448" s="91"/>
      <c r="O448" s="59"/>
      <c r="P448" s="59"/>
    </row>
    <row r="449">
      <c r="A449" s="20"/>
      <c r="C449" s="20"/>
      <c r="D449" s="92"/>
      <c r="E449" s="93"/>
      <c r="F449" s="94"/>
      <c r="G449" s="8"/>
      <c r="I449" s="59"/>
      <c r="J449" s="20"/>
      <c r="L449" s="20"/>
      <c r="N449" s="91"/>
      <c r="O449" s="59"/>
      <c r="P449" s="59"/>
    </row>
    <row r="450">
      <c r="A450" s="20"/>
      <c r="C450" s="20"/>
      <c r="D450" s="92"/>
      <c r="E450" s="93"/>
      <c r="F450" s="94"/>
      <c r="G450" s="8"/>
      <c r="I450" s="59"/>
      <c r="J450" s="20"/>
      <c r="L450" s="20"/>
      <c r="N450" s="91"/>
      <c r="O450" s="59"/>
      <c r="P450" s="59"/>
    </row>
    <row r="451">
      <c r="A451" s="20"/>
      <c r="C451" s="20"/>
      <c r="D451" s="92"/>
      <c r="E451" s="93"/>
      <c r="F451" s="94"/>
      <c r="G451" s="8"/>
      <c r="I451" s="59"/>
      <c r="J451" s="20"/>
      <c r="L451" s="20"/>
      <c r="N451" s="91"/>
      <c r="O451" s="59"/>
      <c r="P451" s="59"/>
    </row>
    <row r="452">
      <c r="A452" s="20"/>
      <c r="C452" s="20"/>
      <c r="D452" s="92"/>
      <c r="E452" s="93"/>
      <c r="F452" s="94"/>
      <c r="G452" s="8"/>
      <c r="I452" s="59"/>
      <c r="J452" s="20"/>
      <c r="L452" s="20"/>
      <c r="N452" s="91"/>
      <c r="O452" s="59"/>
      <c r="P452" s="59"/>
    </row>
    <row r="453">
      <c r="A453" s="20"/>
      <c r="C453" s="20"/>
      <c r="D453" s="92"/>
      <c r="E453" s="93"/>
      <c r="F453" s="94"/>
      <c r="G453" s="8"/>
      <c r="I453" s="59"/>
      <c r="J453" s="20"/>
      <c r="L453" s="20"/>
      <c r="N453" s="91"/>
      <c r="O453" s="59"/>
      <c r="P453" s="59"/>
    </row>
    <row r="454">
      <c r="A454" s="20"/>
      <c r="C454" s="20"/>
      <c r="D454" s="92"/>
      <c r="E454" s="93"/>
      <c r="F454" s="94"/>
      <c r="G454" s="8"/>
      <c r="I454" s="59"/>
      <c r="J454" s="20"/>
      <c r="L454" s="20"/>
      <c r="N454" s="91"/>
      <c r="O454" s="59"/>
      <c r="P454" s="59"/>
    </row>
    <row r="455">
      <c r="A455" s="20"/>
      <c r="C455" s="20"/>
      <c r="D455" s="92"/>
      <c r="E455" s="93"/>
      <c r="F455" s="94"/>
      <c r="G455" s="8"/>
      <c r="I455" s="59"/>
      <c r="J455" s="20"/>
      <c r="L455" s="20"/>
      <c r="N455" s="91"/>
      <c r="O455" s="59"/>
      <c r="P455" s="59"/>
    </row>
    <row r="456">
      <c r="A456" s="20"/>
      <c r="C456" s="20"/>
      <c r="D456" s="92"/>
      <c r="E456" s="93"/>
      <c r="F456" s="94"/>
      <c r="G456" s="8"/>
      <c r="I456" s="59"/>
      <c r="J456" s="20"/>
      <c r="L456" s="20"/>
      <c r="N456" s="91"/>
      <c r="O456" s="59"/>
      <c r="P456" s="59"/>
    </row>
    <row r="457">
      <c r="A457" s="20"/>
      <c r="C457" s="20"/>
      <c r="D457" s="92"/>
      <c r="E457" s="93"/>
      <c r="F457" s="94"/>
      <c r="G457" s="8"/>
      <c r="I457" s="59"/>
      <c r="J457" s="20"/>
      <c r="L457" s="20"/>
      <c r="N457" s="91"/>
      <c r="O457" s="59"/>
      <c r="P457" s="59"/>
    </row>
    <row r="458">
      <c r="A458" s="20"/>
      <c r="C458" s="20"/>
      <c r="D458" s="92"/>
      <c r="E458" s="93"/>
      <c r="F458" s="94"/>
      <c r="G458" s="8"/>
      <c r="I458" s="59"/>
      <c r="J458" s="20"/>
      <c r="L458" s="20"/>
      <c r="N458" s="91"/>
      <c r="O458" s="59"/>
      <c r="P458" s="59"/>
    </row>
    <row r="459">
      <c r="A459" s="20"/>
      <c r="C459" s="20"/>
      <c r="D459" s="92"/>
      <c r="E459" s="93"/>
      <c r="F459" s="94"/>
      <c r="G459" s="8"/>
      <c r="I459" s="59"/>
      <c r="J459" s="20"/>
      <c r="L459" s="20"/>
      <c r="N459" s="91"/>
      <c r="O459" s="59"/>
      <c r="P459" s="59"/>
    </row>
    <row r="460">
      <c r="A460" s="20"/>
      <c r="C460" s="20"/>
      <c r="D460" s="92"/>
      <c r="E460" s="93"/>
      <c r="F460" s="94"/>
      <c r="G460" s="8"/>
      <c r="I460" s="59"/>
      <c r="J460" s="20"/>
      <c r="L460" s="20"/>
      <c r="N460" s="91"/>
      <c r="O460" s="59"/>
      <c r="P460" s="59"/>
    </row>
    <row r="461">
      <c r="A461" s="20"/>
      <c r="C461" s="20"/>
      <c r="D461" s="92"/>
      <c r="E461" s="93"/>
      <c r="F461" s="94"/>
      <c r="G461" s="8"/>
      <c r="I461" s="59"/>
      <c r="J461" s="20"/>
      <c r="L461" s="20"/>
      <c r="N461" s="91"/>
      <c r="O461" s="59"/>
      <c r="P461" s="59"/>
    </row>
    <row r="462">
      <c r="A462" s="20"/>
      <c r="C462" s="20"/>
      <c r="D462" s="92"/>
      <c r="E462" s="93"/>
      <c r="F462" s="94"/>
      <c r="G462" s="8"/>
      <c r="I462" s="59"/>
      <c r="J462" s="20"/>
      <c r="L462" s="20"/>
      <c r="N462" s="91"/>
      <c r="O462" s="59"/>
      <c r="P462" s="59"/>
    </row>
    <row r="463">
      <c r="A463" s="20"/>
      <c r="C463" s="20"/>
      <c r="D463" s="92"/>
      <c r="E463" s="93"/>
      <c r="F463" s="94"/>
      <c r="G463" s="8"/>
      <c r="I463" s="59"/>
      <c r="J463" s="20"/>
      <c r="L463" s="20"/>
      <c r="N463" s="91"/>
      <c r="O463" s="59"/>
      <c r="P463" s="59"/>
    </row>
    <row r="464">
      <c r="A464" s="20"/>
      <c r="C464" s="20"/>
      <c r="D464" s="92"/>
      <c r="E464" s="93"/>
      <c r="F464" s="94"/>
      <c r="G464" s="8"/>
      <c r="I464" s="59"/>
      <c r="J464" s="20"/>
      <c r="L464" s="20"/>
      <c r="N464" s="91"/>
      <c r="O464" s="59"/>
      <c r="P464" s="59"/>
    </row>
    <row r="465">
      <c r="A465" s="20"/>
      <c r="C465" s="20"/>
      <c r="D465" s="92"/>
      <c r="E465" s="93"/>
      <c r="F465" s="94"/>
      <c r="G465" s="8"/>
      <c r="I465" s="59"/>
      <c r="J465" s="20"/>
      <c r="L465" s="20"/>
      <c r="N465" s="91"/>
      <c r="O465" s="59"/>
      <c r="P465" s="59"/>
    </row>
    <row r="466">
      <c r="A466" s="20"/>
      <c r="C466" s="20"/>
      <c r="D466" s="92"/>
      <c r="E466" s="93"/>
      <c r="F466" s="94"/>
      <c r="G466" s="8"/>
      <c r="I466" s="59"/>
      <c r="J466" s="20"/>
      <c r="L466" s="20"/>
      <c r="N466" s="91"/>
      <c r="O466" s="59"/>
      <c r="P466" s="59"/>
    </row>
    <row r="467">
      <c r="A467" s="20"/>
      <c r="C467" s="20"/>
      <c r="D467" s="92"/>
      <c r="E467" s="93"/>
      <c r="F467" s="94"/>
      <c r="G467" s="8"/>
      <c r="I467" s="59"/>
      <c r="J467" s="20"/>
      <c r="L467" s="20"/>
      <c r="N467" s="91"/>
      <c r="O467" s="59"/>
      <c r="P467" s="59"/>
    </row>
    <row r="468">
      <c r="A468" s="20"/>
      <c r="C468" s="20"/>
      <c r="D468" s="92"/>
      <c r="E468" s="93"/>
      <c r="F468" s="94"/>
      <c r="G468" s="8"/>
      <c r="I468" s="59"/>
      <c r="J468" s="20"/>
      <c r="L468" s="20"/>
      <c r="N468" s="91"/>
      <c r="O468" s="59"/>
      <c r="P468" s="59"/>
    </row>
    <row r="469">
      <c r="A469" s="20"/>
      <c r="C469" s="20"/>
      <c r="D469" s="92"/>
      <c r="E469" s="93"/>
      <c r="F469" s="94"/>
      <c r="G469" s="8"/>
      <c r="I469" s="59"/>
      <c r="J469" s="20"/>
      <c r="L469" s="20"/>
      <c r="N469" s="91"/>
      <c r="O469" s="59"/>
      <c r="P469" s="59"/>
    </row>
    <row r="470">
      <c r="A470" s="20"/>
      <c r="C470" s="20"/>
      <c r="D470" s="92"/>
      <c r="E470" s="93"/>
      <c r="F470" s="94"/>
      <c r="G470" s="8"/>
      <c r="I470" s="59"/>
      <c r="J470" s="20"/>
      <c r="L470" s="20"/>
      <c r="N470" s="91"/>
      <c r="O470" s="59"/>
      <c r="P470" s="59"/>
    </row>
    <row r="471">
      <c r="A471" s="20"/>
      <c r="C471" s="20"/>
      <c r="D471" s="92"/>
      <c r="E471" s="93"/>
      <c r="F471" s="94"/>
      <c r="G471" s="8"/>
      <c r="I471" s="59"/>
      <c r="J471" s="20"/>
      <c r="L471" s="20"/>
      <c r="N471" s="91"/>
      <c r="O471" s="59"/>
      <c r="P471" s="59"/>
    </row>
    <row r="472">
      <c r="A472" s="20"/>
      <c r="C472" s="20"/>
      <c r="D472" s="92"/>
      <c r="E472" s="93"/>
      <c r="F472" s="94"/>
      <c r="G472" s="8"/>
      <c r="I472" s="59"/>
      <c r="J472" s="20"/>
      <c r="L472" s="20"/>
      <c r="N472" s="91"/>
      <c r="O472" s="59"/>
      <c r="P472" s="59"/>
    </row>
    <row r="473">
      <c r="A473" s="20"/>
      <c r="C473" s="20"/>
      <c r="D473" s="92"/>
      <c r="E473" s="93"/>
      <c r="F473" s="94"/>
      <c r="G473" s="8"/>
      <c r="I473" s="59"/>
      <c r="J473" s="20"/>
      <c r="L473" s="20"/>
      <c r="N473" s="91"/>
      <c r="O473" s="59"/>
      <c r="P473" s="59"/>
    </row>
    <row r="474">
      <c r="A474" s="20"/>
      <c r="C474" s="20"/>
      <c r="D474" s="92"/>
      <c r="E474" s="93"/>
      <c r="F474" s="94"/>
      <c r="G474" s="8"/>
      <c r="I474" s="59"/>
      <c r="J474" s="20"/>
      <c r="L474" s="20"/>
      <c r="N474" s="91"/>
      <c r="O474" s="59"/>
      <c r="P474" s="59"/>
    </row>
    <row r="475">
      <c r="A475" s="20"/>
      <c r="C475" s="20"/>
      <c r="D475" s="92"/>
      <c r="E475" s="93"/>
      <c r="F475" s="94"/>
      <c r="G475" s="8"/>
      <c r="I475" s="59"/>
      <c r="J475" s="20"/>
      <c r="L475" s="20"/>
      <c r="N475" s="91"/>
      <c r="O475" s="59"/>
      <c r="P475" s="59"/>
    </row>
    <row r="476">
      <c r="A476" s="20"/>
      <c r="C476" s="20"/>
      <c r="D476" s="92"/>
      <c r="E476" s="93"/>
      <c r="F476" s="94"/>
      <c r="G476" s="8"/>
      <c r="I476" s="59"/>
      <c r="J476" s="20"/>
      <c r="L476" s="20"/>
      <c r="N476" s="91"/>
      <c r="O476" s="59"/>
      <c r="P476" s="59"/>
    </row>
    <row r="477">
      <c r="A477" s="20"/>
      <c r="C477" s="20"/>
      <c r="D477" s="92"/>
      <c r="E477" s="93"/>
      <c r="F477" s="94"/>
      <c r="G477" s="8"/>
      <c r="I477" s="59"/>
      <c r="J477" s="20"/>
      <c r="L477" s="20"/>
      <c r="N477" s="91"/>
      <c r="O477" s="59"/>
      <c r="P477" s="59"/>
    </row>
    <row r="478">
      <c r="A478" s="20"/>
      <c r="C478" s="20"/>
      <c r="D478" s="92"/>
      <c r="E478" s="93"/>
      <c r="F478" s="94"/>
      <c r="G478" s="8"/>
      <c r="I478" s="59"/>
      <c r="J478" s="20"/>
      <c r="L478" s="20"/>
      <c r="N478" s="91"/>
      <c r="O478" s="59"/>
      <c r="P478" s="59"/>
    </row>
    <row r="479">
      <c r="A479" s="20"/>
      <c r="C479" s="20"/>
      <c r="D479" s="92"/>
      <c r="E479" s="93"/>
      <c r="F479" s="94"/>
      <c r="G479" s="8"/>
      <c r="I479" s="59"/>
      <c r="J479" s="20"/>
      <c r="L479" s="20"/>
      <c r="N479" s="91"/>
      <c r="O479" s="59"/>
      <c r="P479" s="59"/>
    </row>
    <row r="480">
      <c r="A480" s="20"/>
      <c r="C480" s="20"/>
      <c r="D480" s="92"/>
      <c r="E480" s="93"/>
      <c r="F480" s="94"/>
      <c r="G480" s="8"/>
      <c r="I480" s="59"/>
      <c r="J480" s="20"/>
      <c r="L480" s="20"/>
      <c r="N480" s="91"/>
      <c r="O480" s="59"/>
      <c r="P480" s="59"/>
    </row>
    <row r="481">
      <c r="A481" s="20"/>
      <c r="C481" s="20"/>
      <c r="D481" s="92"/>
      <c r="E481" s="93"/>
      <c r="F481" s="94"/>
      <c r="G481" s="8"/>
      <c r="I481" s="59"/>
      <c r="J481" s="20"/>
      <c r="L481" s="20"/>
      <c r="N481" s="91"/>
      <c r="O481" s="59"/>
      <c r="P481" s="59"/>
    </row>
    <row r="482">
      <c r="A482" s="20"/>
      <c r="C482" s="20"/>
      <c r="D482" s="92"/>
      <c r="E482" s="93"/>
      <c r="F482" s="94"/>
      <c r="G482" s="8"/>
      <c r="I482" s="59"/>
      <c r="J482" s="20"/>
      <c r="L482" s="20"/>
      <c r="N482" s="91"/>
      <c r="O482" s="59"/>
      <c r="P482" s="59"/>
    </row>
    <row r="483">
      <c r="A483" s="20"/>
      <c r="C483" s="20"/>
      <c r="D483" s="92"/>
      <c r="E483" s="93"/>
      <c r="F483" s="94"/>
      <c r="G483" s="8"/>
      <c r="I483" s="59"/>
      <c r="J483" s="20"/>
      <c r="L483" s="20"/>
      <c r="N483" s="91"/>
      <c r="O483" s="59"/>
      <c r="P483" s="59"/>
    </row>
    <row r="484">
      <c r="A484" s="20"/>
      <c r="C484" s="20"/>
      <c r="D484" s="92"/>
      <c r="E484" s="93"/>
      <c r="F484" s="94"/>
      <c r="G484" s="8"/>
      <c r="I484" s="59"/>
      <c r="J484" s="20"/>
      <c r="L484" s="20"/>
      <c r="N484" s="91"/>
      <c r="O484" s="59"/>
      <c r="P484" s="59"/>
    </row>
    <row r="485">
      <c r="A485" s="20"/>
      <c r="C485" s="20"/>
      <c r="D485" s="92"/>
      <c r="E485" s="93"/>
      <c r="F485" s="94"/>
      <c r="G485" s="8"/>
      <c r="I485" s="59"/>
      <c r="J485" s="20"/>
      <c r="L485" s="20"/>
      <c r="N485" s="91"/>
      <c r="O485" s="59"/>
      <c r="P485" s="59"/>
    </row>
    <row r="486">
      <c r="A486" s="20"/>
      <c r="C486" s="20"/>
      <c r="D486" s="92"/>
      <c r="E486" s="93"/>
      <c r="F486" s="94"/>
      <c r="G486" s="8"/>
      <c r="I486" s="59"/>
      <c r="J486" s="20"/>
      <c r="L486" s="20"/>
      <c r="N486" s="91"/>
      <c r="O486" s="59"/>
      <c r="P486" s="59"/>
    </row>
    <row r="487">
      <c r="A487" s="20"/>
      <c r="C487" s="20"/>
      <c r="D487" s="92"/>
      <c r="E487" s="93"/>
      <c r="F487" s="94"/>
      <c r="G487" s="8"/>
      <c r="I487" s="59"/>
      <c r="J487" s="20"/>
      <c r="L487" s="20"/>
      <c r="N487" s="91"/>
      <c r="O487" s="59"/>
      <c r="P487" s="59"/>
    </row>
    <row r="488">
      <c r="A488" s="20"/>
      <c r="C488" s="20"/>
      <c r="D488" s="92"/>
      <c r="E488" s="93"/>
      <c r="F488" s="94"/>
      <c r="G488" s="8"/>
      <c r="I488" s="59"/>
      <c r="J488" s="20"/>
      <c r="L488" s="20"/>
      <c r="N488" s="91"/>
      <c r="O488" s="59"/>
      <c r="P488" s="59"/>
    </row>
    <row r="489">
      <c r="A489" s="20"/>
      <c r="C489" s="20"/>
      <c r="D489" s="92"/>
      <c r="E489" s="93"/>
      <c r="F489" s="94"/>
      <c r="G489" s="8"/>
      <c r="I489" s="59"/>
      <c r="J489" s="20"/>
      <c r="L489" s="20"/>
      <c r="N489" s="91"/>
      <c r="O489" s="59"/>
      <c r="P489" s="59"/>
    </row>
    <row r="490">
      <c r="A490" s="20"/>
      <c r="C490" s="20"/>
      <c r="D490" s="92"/>
      <c r="E490" s="93"/>
      <c r="F490" s="94"/>
      <c r="G490" s="8"/>
      <c r="I490" s="59"/>
      <c r="J490" s="20"/>
      <c r="L490" s="20"/>
      <c r="N490" s="91"/>
      <c r="O490" s="59"/>
      <c r="P490" s="59"/>
    </row>
    <row r="491">
      <c r="A491" s="20"/>
      <c r="C491" s="20"/>
      <c r="D491" s="92"/>
      <c r="E491" s="93"/>
      <c r="F491" s="94"/>
      <c r="G491" s="8"/>
      <c r="I491" s="59"/>
      <c r="J491" s="20"/>
      <c r="L491" s="20"/>
      <c r="N491" s="91"/>
      <c r="O491" s="59"/>
      <c r="P491" s="59"/>
    </row>
    <row r="492">
      <c r="A492" s="20"/>
      <c r="C492" s="20"/>
      <c r="D492" s="92"/>
      <c r="E492" s="93"/>
      <c r="F492" s="94"/>
      <c r="G492" s="8"/>
      <c r="I492" s="59"/>
      <c r="J492" s="20"/>
      <c r="L492" s="20"/>
      <c r="N492" s="91"/>
      <c r="O492" s="59"/>
      <c r="P492" s="59"/>
    </row>
    <row r="493">
      <c r="A493" s="20"/>
      <c r="C493" s="20"/>
      <c r="D493" s="92"/>
      <c r="E493" s="93"/>
      <c r="F493" s="94"/>
      <c r="G493" s="8"/>
      <c r="I493" s="59"/>
      <c r="J493" s="20"/>
      <c r="L493" s="20"/>
      <c r="N493" s="91"/>
      <c r="O493" s="59"/>
      <c r="P493" s="59"/>
    </row>
    <row r="494">
      <c r="A494" s="20"/>
      <c r="C494" s="20"/>
      <c r="D494" s="92"/>
      <c r="E494" s="93"/>
      <c r="F494" s="94"/>
      <c r="G494" s="8"/>
      <c r="I494" s="59"/>
      <c r="J494" s="20"/>
      <c r="L494" s="20"/>
      <c r="N494" s="91"/>
      <c r="O494" s="59"/>
      <c r="P494" s="59"/>
    </row>
    <row r="495">
      <c r="A495" s="20"/>
      <c r="C495" s="20"/>
      <c r="D495" s="92"/>
      <c r="E495" s="93"/>
      <c r="F495" s="94"/>
      <c r="G495" s="8"/>
      <c r="I495" s="59"/>
      <c r="J495" s="20"/>
      <c r="L495" s="20"/>
      <c r="N495" s="91"/>
      <c r="O495" s="59"/>
      <c r="P495" s="59"/>
    </row>
    <row r="496">
      <c r="A496" s="20"/>
      <c r="C496" s="20"/>
      <c r="D496" s="92"/>
      <c r="E496" s="93"/>
      <c r="F496" s="94"/>
      <c r="G496" s="8"/>
      <c r="I496" s="59"/>
      <c r="J496" s="20"/>
      <c r="L496" s="20"/>
      <c r="N496" s="91"/>
      <c r="O496" s="59"/>
      <c r="P496" s="59"/>
    </row>
    <row r="497">
      <c r="A497" s="20"/>
      <c r="C497" s="20"/>
      <c r="D497" s="92"/>
      <c r="E497" s="93"/>
      <c r="F497" s="94"/>
      <c r="G497" s="8"/>
      <c r="I497" s="59"/>
      <c r="J497" s="20"/>
      <c r="L497" s="20"/>
      <c r="N497" s="91"/>
      <c r="O497" s="59"/>
      <c r="P497" s="59"/>
    </row>
    <row r="498">
      <c r="A498" s="20"/>
      <c r="C498" s="20"/>
      <c r="D498" s="92"/>
      <c r="E498" s="93"/>
      <c r="F498" s="94"/>
      <c r="G498" s="8"/>
      <c r="I498" s="59"/>
      <c r="J498" s="20"/>
      <c r="L498" s="20"/>
      <c r="N498" s="91"/>
      <c r="O498" s="59"/>
      <c r="P498" s="59"/>
    </row>
    <row r="499">
      <c r="A499" s="20"/>
      <c r="C499" s="20"/>
      <c r="D499" s="92"/>
      <c r="E499" s="93"/>
      <c r="F499" s="94"/>
      <c r="G499" s="8"/>
      <c r="I499" s="59"/>
      <c r="J499" s="20"/>
      <c r="L499" s="20"/>
      <c r="N499" s="91"/>
      <c r="O499" s="59"/>
      <c r="P499" s="59"/>
    </row>
    <row r="500">
      <c r="A500" s="20"/>
      <c r="C500" s="20"/>
      <c r="D500" s="92"/>
      <c r="E500" s="93"/>
      <c r="F500" s="94"/>
      <c r="G500" s="8"/>
      <c r="I500" s="59"/>
      <c r="J500" s="20"/>
      <c r="L500" s="20"/>
      <c r="N500" s="91"/>
      <c r="O500" s="59"/>
      <c r="P500" s="59"/>
    </row>
    <row r="501">
      <c r="A501" s="20"/>
      <c r="C501" s="20"/>
      <c r="D501" s="92"/>
      <c r="E501" s="93"/>
      <c r="F501" s="94"/>
      <c r="G501" s="8"/>
      <c r="I501" s="59"/>
      <c r="J501" s="20"/>
      <c r="L501" s="20"/>
      <c r="N501" s="91"/>
      <c r="O501" s="59"/>
      <c r="P501" s="59"/>
    </row>
    <row r="502">
      <c r="A502" s="20"/>
      <c r="C502" s="20"/>
      <c r="D502" s="92"/>
      <c r="E502" s="93"/>
      <c r="F502" s="94"/>
      <c r="G502" s="8"/>
      <c r="I502" s="59"/>
      <c r="J502" s="20"/>
      <c r="L502" s="20"/>
      <c r="N502" s="91"/>
      <c r="O502" s="59"/>
      <c r="P502" s="59"/>
    </row>
    <row r="503">
      <c r="A503" s="20"/>
      <c r="C503" s="20"/>
      <c r="D503" s="92"/>
      <c r="E503" s="93"/>
      <c r="F503" s="94"/>
      <c r="G503" s="8"/>
      <c r="I503" s="59"/>
      <c r="J503" s="20"/>
      <c r="L503" s="20"/>
      <c r="N503" s="91"/>
      <c r="O503" s="59"/>
      <c r="P503" s="59"/>
    </row>
    <row r="504">
      <c r="A504" s="20"/>
      <c r="C504" s="20"/>
      <c r="D504" s="92"/>
      <c r="E504" s="93"/>
      <c r="F504" s="94"/>
      <c r="G504" s="8"/>
      <c r="I504" s="59"/>
      <c r="J504" s="20"/>
      <c r="L504" s="20"/>
      <c r="N504" s="91"/>
      <c r="O504" s="59"/>
      <c r="P504" s="59"/>
    </row>
    <row r="505">
      <c r="A505" s="20"/>
      <c r="C505" s="20"/>
      <c r="D505" s="92"/>
      <c r="E505" s="93"/>
      <c r="F505" s="94"/>
      <c r="G505" s="8"/>
      <c r="I505" s="59"/>
      <c r="J505" s="20"/>
      <c r="L505" s="20"/>
      <c r="N505" s="91"/>
      <c r="O505" s="59"/>
      <c r="P505" s="59"/>
    </row>
    <row r="506">
      <c r="A506" s="20"/>
      <c r="C506" s="20"/>
      <c r="D506" s="92"/>
      <c r="E506" s="93"/>
      <c r="F506" s="94"/>
      <c r="G506" s="8"/>
      <c r="I506" s="59"/>
      <c r="J506" s="20"/>
      <c r="L506" s="20"/>
      <c r="N506" s="91"/>
      <c r="O506" s="59"/>
      <c r="P506" s="59"/>
    </row>
    <row r="507">
      <c r="A507" s="20"/>
      <c r="C507" s="20"/>
      <c r="D507" s="92"/>
      <c r="E507" s="93"/>
      <c r="F507" s="94"/>
      <c r="G507" s="8"/>
      <c r="I507" s="59"/>
      <c r="J507" s="20"/>
      <c r="L507" s="20"/>
      <c r="N507" s="91"/>
      <c r="O507" s="59"/>
      <c r="P507" s="59"/>
    </row>
    <row r="508">
      <c r="A508" s="20"/>
      <c r="C508" s="20"/>
      <c r="D508" s="92"/>
      <c r="E508" s="93"/>
      <c r="F508" s="94"/>
      <c r="G508" s="8"/>
      <c r="I508" s="59"/>
      <c r="J508" s="20"/>
      <c r="L508" s="20"/>
      <c r="N508" s="91"/>
      <c r="O508" s="59"/>
      <c r="P508" s="59"/>
    </row>
    <row r="509">
      <c r="A509" s="20"/>
      <c r="C509" s="20"/>
      <c r="D509" s="92"/>
      <c r="E509" s="93"/>
      <c r="F509" s="94"/>
      <c r="G509" s="8"/>
      <c r="I509" s="59"/>
      <c r="J509" s="20"/>
      <c r="L509" s="20"/>
      <c r="N509" s="91"/>
      <c r="O509" s="59"/>
      <c r="P509" s="59"/>
    </row>
    <row r="510">
      <c r="A510" s="20"/>
      <c r="C510" s="20"/>
      <c r="D510" s="92"/>
      <c r="E510" s="93"/>
      <c r="F510" s="94"/>
      <c r="G510" s="8"/>
      <c r="I510" s="59"/>
      <c r="J510" s="20"/>
      <c r="L510" s="20"/>
      <c r="N510" s="91"/>
      <c r="O510" s="59"/>
      <c r="P510" s="59"/>
    </row>
    <row r="511">
      <c r="A511" s="20"/>
      <c r="C511" s="20"/>
      <c r="D511" s="92"/>
      <c r="E511" s="93"/>
      <c r="F511" s="94"/>
      <c r="G511" s="8"/>
      <c r="I511" s="59"/>
      <c r="J511" s="20"/>
      <c r="L511" s="20"/>
      <c r="N511" s="91"/>
      <c r="O511" s="59"/>
      <c r="P511" s="59"/>
    </row>
    <row r="512">
      <c r="A512" s="20"/>
      <c r="C512" s="20"/>
      <c r="D512" s="92"/>
      <c r="E512" s="93"/>
      <c r="F512" s="94"/>
      <c r="G512" s="8"/>
      <c r="I512" s="59"/>
      <c r="J512" s="20"/>
      <c r="L512" s="20"/>
      <c r="N512" s="91"/>
      <c r="O512" s="59"/>
      <c r="P512" s="59"/>
    </row>
    <row r="513">
      <c r="A513" s="20"/>
      <c r="C513" s="20"/>
      <c r="D513" s="92"/>
      <c r="E513" s="93"/>
      <c r="F513" s="94"/>
      <c r="G513" s="8"/>
      <c r="I513" s="59"/>
      <c r="J513" s="20"/>
      <c r="L513" s="20"/>
      <c r="N513" s="91"/>
      <c r="O513" s="59"/>
      <c r="P513" s="59"/>
    </row>
    <row r="514">
      <c r="A514" s="20"/>
      <c r="C514" s="20"/>
      <c r="D514" s="92"/>
      <c r="E514" s="93"/>
      <c r="F514" s="94"/>
      <c r="G514" s="8"/>
      <c r="I514" s="59"/>
      <c r="J514" s="20"/>
      <c r="L514" s="20"/>
      <c r="N514" s="91"/>
      <c r="O514" s="59"/>
      <c r="P514" s="59"/>
    </row>
    <row r="515">
      <c r="A515" s="20"/>
      <c r="C515" s="20"/>
      <c r="D515" s="92"/>
      <c r="E515" s="93"/>
      <c r="F515" s="94"/>
      <c r="G515" s="8"/>
      <c r="I515" s="59"/>
      <c r="J515" s="20"/>
      <c r="L515" s="20"/>
      <c r="N515" s="91"/>
      <c r="O515" s="59"/>
      <c r="P515" s="59"/>
    </row>
    <row r="516">
      <c r="A516" s="20"/>
      <c r="C516" s="20"/>
      <c r="D516" s="92"/>
      <c r="E516" s="93"/>
      <c r="F516" s="94"/>
      <c r="G516" s="8"/>
      <c r="I516" s="59"/>
      <c r="J516" s="20"/>
      <c r="L516" s="20"/>
      <c r="N516" s="91"/>
      <c r="O516" s="59"/>
      <c r="P516" s="59"/>
    </row>
    <row r="517">
      <c r="A517" s="20"/>
      <c r="C517" s="20"/>
      <c r="D517" s="92"/>
      <c r="E517" s="93"/>
      <c r="F517" s="94"/>
      <c r="G517" s="8"/>
      <c r="I517" s="59"/>
      <c r="J517" s="20"/>
      <c r="L517" s="20"/>
      <c r="N517" s="91"/>
      <c r="O517" s="59"/>
      <c r="P517" s="59"/>
    </row>
    <row r="518">
      <c r="A518" s="20"/>
      <c r="C518" s="20"/>
      <c r="D518" s="92"/>
      <c r="E518" s="93"/>
      <c r="F518" s="94"/>
      <c r="G518" s="8"/>
      <c r="I518" s="59"/>
      <c r="J518" s="20"/>
      <c r="L518" s="20"/>
      <c r="N518" s="91"/>
      <c r="O518" s="59"/>
      <c r="P518" s="59"/>
    </row>
    <row r="519">
      <c r="A519" s="20"/>
      <c r="C519" s="20"/>
      <c r="D519" s="92"/>
      <c r="E519" s="93"/>
      <c r="F519" s="94"/>
      <c r="G519" s="8"/>
      <c r="I519" s="59"/>
      <c r="J519" s="20"/>
      <c r="L519" s="20"/>
      <c r="N519" s="91"/>
      <c r="O519" s="59"/>
      <c r="P519" s="59"/>
    </row>
    <row r="520">
      <c r="A520" s="20"/>
      <c r="C520" s="20"/>
      <c r="D520" s="92"/>
      <c r="E520" s="93"/>
      <c r="F520" s="94"/>
      <c r="G520" s="8"/>
      <c r="I520" s="59"/>
      <c r="J520" s="20"/>
      <c r="L520" s="20"/>
      <c r="N520" s="91"/>
      <c r="O520" s="59"/>
      <c r="P520" s="59"/>
    </row>
    <row r="521">
      <c r="A521" s="20"/>
      <c r="C521" s="20"/>
      <c r="D521" s="92"/>
      <c r="E521" s="93"/>
      <c r="F521" s="94"/>
      <c r="G521" s="8"/>
      <c r="I521" s="59"/>
      <c r="J521" s="20"/>
      <c r="L521" s="20"/>
      <c r="N521" s="91"/>
      <c r="O521" s="59"/>
      <c r="P521" s="59"/>
    </row>
    <row r="522">
      <c r="A522" s="20"/>
      <c r="C522" s="20"/>
      <c r="D522" s="92"/>
      <c r="E522" s="93"/>
      <c r="F522" s="94"/>
      <c r="G522" s="8"/>
      <c r="I522" s="59"/>
      <c r="J522" s="20"/>
      <c r="L522" s="20"/>
      <c r="N522" s="91"/>
      <c r="O522" s="59"/>
      <c r="P522" s="59"/>
    </row>
    <row r="523">
      <c r="A523" s="20"/>
      <c r="C523" s="20"/>
      <c r="D523" s="92"/>
      <c r="E523" s="93"/>
      <c r="F523" s="94"/>
      <c r="G523" s="8"/>
      <c r="I523" s="59"/>
      <c r="J523" s="20"/>
      <c r="L523" s="20"/>
      <c r="N523" s="91"/>
      <c r="O523" s="59"/>
      <c r="P523" s="59"/>
    </row>
    <row r="524">
      <c r="A524" s="20"/>
      <c r="C524" s="20"/>
      <c r="D524" s="92"/>
      <c r="E524" s="93"/>
      <c r="F524" s="94"/>
      <c r="G524" s="8"/>
      <c r="I524" s="59"/>
      <c r="J524" s="20"/>
      <c r="L524" s="20"/>
      <c r="N524" s="91"/>
      <c r="O524" s="59"/>
      <c r="P524" s="59"/>
    </row>
    <row r="525">
      <c r="A525" s="20"/>
      <c r="C525" s="20"/>
      <c r="D525" s="92"/>
      <c r="E525" s="93"/>
      <c r="F525" s="94"/>
      <c r="G525" s="8"/>
      <c r="I525" s="59"/>
      <c r="J525" s="20"/>
      <c r="L525" s="20"/>
      <c r="N525" s="91"/>
      <c r="O525" s="59"/>
      <c r="P525" s="59"/>
    </row>
    <row r="526">
      <c r="A526" s="20"/>
      <c r="C526" s="20"/>
      <c r="D526" s="92"/>
      <c r="E526" s="93"/>
      <c r="F526" s="94"/>
      <c r="G526" s="8"/>
      <c r="I526" s="59"/>
      <c r="J526" s="20"/>
      <c r="L526" s="20"/>
      <c r="N526" s="91"/>
      <c r="O526" s="59"/>
      <c r="P526" s="59"/>
    </row>
    <row r="527">
      <c r="A527" s="20"/>
      <c r="C527" s="20"/>
      <c r="D527" s="92"/>
      <c r="E527" s="93"/>
      <c r="F527" s="94"/>
      <c r="G527" s="8"/>
      <c r="I527" s="59"/>
      <c r="J527" s="20"/>
      <c r="L527" s="20"/>
      <c r="N527" s="91"/>
      <c r="O527" s="59"/>
      <c r="P527" s="59"/>
    </row>
    <row r="528">
      <c r="A528" s="20"/>
      <c r="C528" s="20"/>
      <c r="D528" s="92"/>
      <c r="E528" s="93"/>
      <c r="F528" s="94"/>
      <c r="G528" s="8"/>
      <c r="I528" s="59"/>
      <c r="J528" s="20"/>
      <c r="L528" s="20"/>
      <c r="N528" s="91"/>
      <c r="O528" s="59"/>
      <c r="P528" s="59"/>
    </row>
    <row r="529">
      <c r="A529" s="20"/>
      <c r="C529" s="20"/>
      <c r="D529" s="92"/>
      <c r="E529" s="93"/>
      <c r="F529" s="94"/>
      <c r="G529" s="8"/>
      <c r="I529" s="59"/>
      <c r="J529" s="20"/>
      <c r="L529" s="20"/>
      <c r="N529" s="91"/>
      <c r="O529" s="59"/>
      <c r="P529" s="59"/>
    </row>
    <row r="530">
      <c r="A530" s="20"/>
      <c r="C530" s="20"/>
      <c r="D530" s="92"/>
      <c r="E530" s="93"/>
      <c r="F530" s="94"/>
      <c r="G530" s="8"/>
      <c r="I530" s="59"/>
      <c r="J530" s="20"/>
      <c r="L530" s="20"/>
      <c r="N530" s="91"/>
      <c r="O530" s="59"/>
      <c r="P530" s="59"/>
    </row>
    <row r="531">
      <c r="A531" s="20"/>
      <c r="C531" s="20"/>
      <c r="D531" s="92"/>
      <c r="E531" s="93"/>
      <c r="F531" s="94"/>
      <c r="G531" s="8"/>
      <c r="I531" s="59"/>
      <c r="J531" s="20"/>
      <c r="L531" s="20"/>
      <c r="N531" s="91"/>
      <c r="O531" s="59"/>
      <c r="P531" s="59"/>
    </row>
    <row r="532">
      <c r="A532" s="20"/>
      <c r="C532" s="20"/>
      <c r="D532" s="92"/>
      <c r="E532" s="93"/>
      <c r="F532" s="94"/>
      <c r="G532" s="8"/>
      <c r="I532" s="59"/>
      <c r="J532" s="20"/>
      <c r="L532" s="20"/>
      <c r="N532" s="91"/>
      <c r="O532" s="59"/>
      <c r="P532" s="59"/>
    </row>
    <row r="533">
      <c r="A533" s="20"/>
      <c r="C533" s="20"/>
      <c r="D533" s="92"/>
      <c r="E533" s="93"/>
      <c r="F533" s="94"/>
      <c r="G533" s="8"/>
      <c r="I533" s="59"/>
      <c r="J533" s="20"/>
      <c r="L533" s="20"/>
      <c r="N533" s="91"/>
      <c r="O533" s="59"/>
      <c r="P533" s="59"/>
    </row>
    <row r="534">
      <c r="A534" s="20"/>
      <c r="C534" s="20"/>
      <c r="D534" s="92"/>
      <c r="E534" s="93"/>
      <c r="F534" s="94"/>
      <c r="G534" s="8"/>
      <c r="I534" s="59"/>
      <c r="J534" s="20"/>
      <c r="L534" s="20"/>
      <c r="N534" s="91"/>
      <c r="O534" s="59"/>
      <c r="P534" s="59"/>
    </row>
    <row r="535">
      <c r="A535" s="20"/>
      <c r="C535" s="20"/>
      <c r="D535" s="92"/>
      <c r="E535" s="93"/>
      <c r="F535" s="94"/>
      <c r="G535" s="8"/>
      <c r="I535" s="59"/>
      <c r="J535" s="20"/>
      <c r="L535" s="20"/>
      <c r="N535" s="91"/>
      <c r="O535" s="59"/>
      <c r="P535" s="59"/>
    </row>
    <row r="536">
      <c r="A536" s="20"/>
      <c r="C536" s="20"/>
      <c r="D536" s="92"/>
      <c r="E536" s="93"/>
      <c r="F536" s="94"/>
      <c r="G536" s="8"/>
      <c r="I536" s="59"/>
      <c r="J536" s="20"/>
      <c r="L536" s="20"/>
      <c r="N536" s="91"/>
      <c r="O536" s="59"/>
      <c r="P536" s="59"/>
    </row>
    <row r="537">
      <c r="A537" s="20"/>
      <c r="C537" s="20"/>
      <c r="D537" s="92"/>
      <c r="E537" s="93"/>
      <c r="F537" s="94"/>
      <c r="G537" s="8"/>
      <c r="I537" s="59"/>
      <c r="J537" s="20"/>
      <c r="L537" s="20"/>
      <c r="N537" s="91"/>
      <c r="O537" s="59"/>
      <c r="P537" s="59"/>
    </row>
    <row r="538">
      <c r="A538" s="20"/>
      <c r="C538" s="20"/>
      <c r="D538" s="92"/>
      <c r="E538" s="93"/>
      <c r="F538" s="94"/>
      <c r="G538" s="8"/>
      <c r="I538" s="59"/>
      <c r="J538" s="20"/>
      <c r="L538" s="20"/>
      <c r="N538" s="91"/>
      <c r="O538" s="59"/>
      <c r="P538" s="59"/>
    </row>
    <row r="539">
      <c r="A539" s="20"/>
      <c r="C539" s="20"/>
      <c r="D539" s="92"/>
      <c r="E539" s="93"/>
      <c r="F539" s="94"/>
      <c r="G539" s="8"/>
      <c r="I539" s="59"/>
      <c r="J539" s="20"/>
      <c r="L539" s="20"/>
      <c r="N539" s="91"/>
      <c r="O539" s="59"/>
      <c r="P539" s="59"/>
    </row>
    <row r="540">
      <c r="A540" s="20"/>
      <c r="C540" s="20"/>
      <c r="D540" s="92"/>
      <c r="E540" s="93"/>
      <c r="F540" s="94"/>
      <c r="G540" s="8"/>
      <c r="I540" s="59"/>
      <c r="J540" s="20"/>
      <c r="L540" s="20"/>
      <c r="N540" s="91"/>
      <c r="O540" s="59"/>
      <c r="P540" s="59"/>
    </row>
    <row r="541">
      <c r="A541" s="20"/>
      <c r="C541" s="20"/>
      <c r="D541" s="92"/>
      <c r="E541" s="93"/>
      <c r="F541" s="94"/>
      <c r="G541" s="8"/>
      <c r="I541" s="59"/>
      <c r="J541" s="20"/>
      <c r="L541" s="20"/>
      <c r="N541" s="91"/>
      <c r="O541" s="59"/>
      <c r="P541" s="59"/>
    </row>
    <row r="542">
      <c r="A542" s="20"/>
      <c r="C542" s="20"/>
      <c r="D542" s="92"/>
      <c r="E542" s="93"/>
      <c r="F542" s="94"/>
      <c r="G542" s="8"/>
      <c r="I542" s="59"/>
      <c r="J542" s="20"/>
      <c r="L542" s="20"/>
      <c r="N542" s="91"/>
      <c r="O542" s="59"/>
      <c r="P542" s="59"/>
    </row>
    <row r="543">
      <c r="A543" s="20"/>
      <c r="C543" s="20"/>
      <c r="D543" s="92"/>
      <c r="E543" s="93"/>
      <c r="F543" s="94"/>
      <c r="G543" s="8"/>
      <c r="I543" s="59"/>
      <c r="J543" s="20"/>
      <c r="L543" s="20"/>
      <c r="N543" s="91"/>
      <c r="O543" s="59"/>
      <c r="P543" s="59"/>
    </row>
    <row r="544">
      <c r="A544" s="20"/>
      <c r="C544" s="20"/>
      <c r="D544" s="92"/>
      <c r="E544" s="93"/>
      <c r="F544" s="94"/>
      <c r="G544" s="8"/>
      <c r="I544" s="59"/>
      <c r="J544" s="20"/>
      <c r="L544" s="20"/>
      <c r="N544" s="91"/>
      <c r="O544" s="59"/>
      <c r="P544" s="59"/>
    </row>
    <row r="545">
      <c r="A545" s="20"/>
      <c r="C545" s="20"/>
      <c r="D545" s="92"/>
      <c r="E545" s="93"/>
      <c r="F545" s="94"/>
      <c r="G545" s="8"/>
      <c r="I545" s="59"/>
      <c r="J545" s="20"/>
      <c r="L545" s="20"/>
      <c r="N545" s="91"/>
      <c r="O545" s="59"/>
      <c r="P545" s="59"/>
    </row>
    <row r="546">
      <c r="A546" s="20"/>
      <c r="C546" s="20"/>
      <c r="D546" s="92"/>
      <c r="E546" s="93"/>
      <c r="F546" s="94"/>
      <c r="G546" s="8"/>
      <c r="I546" s="59"/>
      <c r="J546" s="20"/>
      <c r="L546" s="20"/>
      <c r="N546" s="91"/>
      <c r="O546" s="59"/>
      <c r="P546" s="59"/>
    </row>
    <row r="547">
      <c r="A547" s="20"/>
      <c r="C547" s="20"/>
      <c r="D547" s="92"/>
      <c r="E547" s="93"/>
      <c r="F547" s="94"/>
      <c r="G547" s="8"/>
      <c r="I547" s="59"/>
      <c r="J547" s="20"/>
      <c r="L547" s="20"/>
      <c r="N547" s="91"/>
      <c r="O547" s="59"/>
      <c r="P547" s="59"/>
    </row>
    <row r="548">
      <c r="A548" s="20"/>
      <c r="C548" s="20"/>
      <c r="D548" s="92"/>
      <c r="E548" s="93"/>
      <c r="F548" s="94"/>
      <c r="G548" s="8"/>
      <c r="I548" s="59"/>
      <c r="J548" s="20"/>
      <c r="L548" s="20"/>
      <c r="N548" s="91"/>
      <c r="O548" s="59"/>
      <c r="P548" s="59"/>
    </row>
    <row r="549">
      <c r="A549" s="20"/>
      <c r="C549" s="20"/>
      <c r="D549" s="92"/>
      <c r="E549" s="93"/>
      <c r="F549" s="94"/>
      <c r="G549" s="8"/>
      <c r="I549" s="59"/>
      <c r="J549" s="20"/>
      <c r="L549" s="20"/>
      <c r="N549" s="91"/>
      <c r="O549" s="59"/>
      <c r="P549" s="59"/>
    </row>
    <row r="550">
      <c r="A550" s="20"/>
      <c r="C550" s="20"/>
      <c r="D550" s="92"/>
      <c r="E550" s="93"/>
      <c r="F550" s="94"/>
      <c r="G550" s="8"/>
      <c r="I550" s="59"/>
      <c r="J550" s="20"/>
      <c r="L550" s="20"/>
      <c r="N550" s="91"/>
      <c r="O550" s="59"/>
      <c r="P550" s="59"/>
    </row>
    <row r="551">
      <c r="A551" s="20"/>
      <c r="C551" s="20"/>
      <c r="D551" s="92"/>
      <c r="E551" s="93"/>
      <c r="F551" s="94"/>
      <c r="G551" s="8"/>
      <c r="I551" s="59"/>
      <c r="J551" s="20"/>
      <c r="L551" s="20"/>
      <c r="N551" s="91"/>
      <c r="O551" s="59"/>
      <c r="P551" s="59"/>
    </row>
    <row r="552">
      <c r="A552" s="20"/>
      <c r="C552" s="20"/>
      <c r="D552" s="92"/>
      <c r="E552" s="93"/>
      <c r="F552" s="94"/>
      <c r="G552" s="8"/>
      <c r="I552" s="59"/>
      <c r="J552" s="20"/>
      <c r="L552" s="20"/>
      <c r="N552" s="91"/>
      <c r="O552" s="59"/>
      <c r="P552" s="59"/>
    </row>
    <row r="553">
      <c r="A553" s="20"/>
      <c r="C553" s="20"/>
      <c r="D553" s="92"/>
      <c r="E553" s="93"/>
      <c r="F553" s="94"/>
      <c r="G553" s="8"/>
      <c r="I553" s="59"/>
      <c r="J553" s="20"/>
      <c r="L553" s="20"/>
      <c r="N553" s="91"/>
      <c r="O553" s="59"/>
      <c r="P553" s="59"/>
    </row>
    <row r="554">
      <c r="A554" s="20"/>
      <c r="C554" s="20"/>
      <c r="D554" s="92"/>
      <c r="E554" s="93"/>
      <c r="F554" s="94"/>
      <c r="G554" s="8"/>
      <c r="I554" s="59"/>
      <c r="J554" s="20"/>
      <c r="L554" s="20"/>
      <c r="N554" s="91"/>
      <c r="O554" s="59"/>
      <c r="P554" s="59"/>
    </row>
    <row r="555">
      <c r="A555" s="20"/>
      <c r="C555" s="20"/>
      <c r="D555" s="92"/>
      <c r="E555" s="93"/>
      <c r="F555" s="94"/>
      <c r="G555" s="8"/>
      <c r="I555" s="59"/>
      <c r="J555" s="20"/>
      <c r="L555" s="20"/>
      <c r="N555" s="91"/>
      <c r="O555" s="59"/>
      <c r="P555" s="59"/>
    </row>
    <row r="556">
      <c r="A556" s="20"/>
      <c r="C556" s="20"/>
      <c r="D556" s="92"/>
      <c r="E556" s="93"/>
      <c r="F556" s="94"/>
      <c r="G556" s="8"/>
      <c r="I556" s="59"/>
      <c r="J556" s="20"/>
      <c r="L556" s="20"/>
      <c r="N556" s="91"/>
      <c r="O556" s="59"/>
      <c r="P556" s="59"/>
    </row>
    <row r="557">
      <c r="A557" s="20"/>
      <c r="C557" s="20"/>
      <c r="D557" s="92"/>
      <c r="E557" s="93"/>
      <c r="F557" s="94"/>
      <c r="G557" s="8"/>
      <c r="I557" s="59"/>
      <c r="J557" s="20"/>
      <c r="L557" s="20"/>
      <c r="N557" s="91"/>
      <c r="O557" s="59"/>
      <c r="P557" s="59"/>
    </row>
    <row r="558">
      <c r="A558" s="20"/>
      <c r="C558" s="20"/>
      <c r="D558" s="92"/>
      <c r="E558" s="93"/>
      <c r="F558" s="94"/>
      <c r="G558" s="8"/>
      <c r="I558" s="59"/>
      <c r="J558" s="20"/>
      <c r="L558" s="20"/>
      <c r="N558" s="91"/>
      <c r="O558" s="59"/>
      <c r="P558" s="59"/>
    </row>
    <row r="559">
      <c r="A559" s="20"/>
      <c r="C559" s="20"/>
      <c r="D559" s="92"/>
      <c r="E559" s="93"/>
      <c r="F559" s="94"/>
      <c r="G559" s="8"/>
      <c r="I559" s="59"/>
      <c r="J559" s="20"/>
      <c r="L559" s="20"/>
      <c r="N559" s="91"/>
      <c r="O559" s="59"/>
      <c r="P559" s="59"/>
    </row>
    <row r="560">
      <c r="A560" s="20"/>
      <c r="C560" s="20"/>
      <c r="D560" s="92"/>
      <c r="E560" s="93"/>
      <c r="F560" s="94"/>
      <c r="G560" s="8"/>
      <c r="I560" s="59"/>
      <c r="J560" s="20"/>
      <c r="L560" s="20"/>
      <c r="N560" s="91"/>
      <c r="O560" s="59"/>
      <c r="P560" s="59"/>
    </row>
    <row r="561">
      <c r="A561" s="20"/>
      <c r="C561" s="20"/>
      <c r="D561" s="92"/>
      <c r="E561" s="93"/>
      <c r="F561" s="94"/>
      <c r="G561" s="8"/>
      <c r="I561" s="59"/>
      <c r="J561" s="20"/>
      <c r="L561" s="20"/>
      <c r="N561" s="91"/>
      <c r="O561" s="59"/>
      <c r="P561" s="59"/>
    </row>
    <row r="562">
      <c r="A562" s="20"/>
      <c r="C562" s="20"/>
      <c r="D562" s="92"/>
      <c r="E562" s="93"/>
      <c r="F562" s="94"/>
      <c r="G562" s="8"/>
      <c r="I562" s="59"/>
      <c r="J562" s="20"/>
      <c r="L562" s="20"/>
      <c r="N562" s="91"/>
      <c r="O562" s="59"/>
      <c r="P562" s="59"/>
    </row>
    <row r="563">
      <c r="A563" s="20"/>
      <c r="C563" s="20"/>
      <c r="D563" s="92"/>
      <c r="E563" s="93"/>
      <c r="F563" s="94"/>
      <c r="G563" s="8"/>
      <c r="I563" s="59"/>
      <c r="J563" s="20"/>
      <c r="L563" s="20"/>
      <c r="N563" s="91"/>
      <c r="O563" s="59"/>
      <c r="P563" s="59"/>
    </row>
    <row r="564">
      <c r="A564" s="20"/>
      <c r="C564" s="20"/>
      <c r="D564" s="92"/>
      <c r="E564" s="93"/>
      <c r="F564" s="94"/>
      <c r="G564" s="8"/>
      <c r="I564" s="59"/>
      <c r="J564" s="20"/>
      <c r="L564" s="20"/>
      <c r="N564" s="91"/>
      <c r="O564" s="59"/>
      <c r="P564" s="59"/>
    </row>
    <row r="565">
      <c r="A565" s="20"/>
      <c r="C565" s="20"/>
      <c r="D565" s="92"/>
      <c r="E565" s="93"/>
      <c r="F565" s="94"/>
      <c r="G565" s="8"/>
      <c r="I565" s="59"/>
      <c r="J565" s="20"/>
      <c r="L565" s="20"/>
      <c r="N565" s="91"/>
      <c r="O565" s="59"/>
      <c r="P565" s="59"/>
    </row>
    <row r="566">
      <c r="A566" s="20"/>
      <c r="C566" s="20"/>
      <c r="D566" s="92"/>
      <c r="E566" s="93"/>
      <c r="F566" s="94"/>
      <c r="G566" s="8"/>
      <c r="I566" s="59"/>
      <c r="J566" s="20"/>
      <c r="L566" s="20"/>
      <c r="N566" s="91"/>
      <c r="O566" s="59"/>
      <c r="P566" s="59"/>
    </row>
    <row r="567">
      <c r="A567" s="20"/>
      <c r="C567" s="20"/>
      <c r="D567" s="92"/>
      <c r="E567" s="93"/>
      <c r="F567" s="94"/>
      <c r="G567" s="8"/>
      <c r="I567" s="59"/>
      <c r="J567" s="20"/>
      <c r="L567" s="20"/>
      <c r="N567" s="91"/>
      <c r="O567" s="59"/>
      <c r="P567" s="59"/>
    </row>
    <row r="568">
      <c r="A568" s="20"/>
      <c r="C568" s="20"/>
      <c r="D568" s="92"/>
      <c r="E568" s="93"/>
      <c r="F568" s="94"/>
      <c r="G568" s="8"/>
      <c r="I568" s="59"/>
      <c r="J568" s="20"/>
      <c r="L568" s="20"/>
      <c r="N568" s="91"/>
      <c r="O568" s="59"/>
      <c r="P568" s="59"/>
    </row>
    <row r="569">
      <c r="A569" s="20"/>
      <c r="C569" s="20"/>
      <c r="D569" s="92"/>
      <c r="E569" s="93"/>
      <c r="F569" s="94"/>
      <c r="G569" s="8"/>
      <c r="I569" s="59"/>
      <c r="J569" s="20"/>
      <c r="L569" s="20"/>
      <c r="N569" s="91"/>
      <c r="O569" s="59"/>
      <c r="P569" s="59"/>
    </row>
    <row r="570">
      <c r="A570" s="20"/>
      <c r="C570" s="20"/>
      <c r="D570" s="92"/>
      <c r="E570" s="93"/>
      <c r="F570" s="94"/>
      <c r="G570" s="8"/>
      <c r="I570" s="59"/>
      <c r="J570" s="20"/>
      <c r="L570" s="20"/>
      <c r="N570" s="91"/>
      <c r="O570" s="59"/>
      <c r="P570" s="59"/>
    </row>
    <row r="571">
      <c r="A571" s="20"/>
      <c r="C571" s="20"/>
      <c r="D571" s="92"/>
      <c r="E571" s="93"/>
      <c r="F571" s="94"/>
      <c r="G571" s="8"/>
      <c r="I571" s="59"/>
      <c r="J571" s="20"/>
      <c r="L571" s="20"/>
      <c r="N571" s="91"/>
      <c r="O571" s="59"/>
      <c r="P571" s="59"/>
    </row>
    <row r="572">
      <c r="A572" s="20"/>
      <c r="C572" s="20"/>
      <c r="D572" s="92"/>
      <c r="E572" s="93"/>
      <c r="F572" s="94"/>
      <c r="G572" s="8"/>
      <c r="I572" s="59"/>
      <c r="J572" s="20"/>
      <c r="L572" s="20"/>
      <c r="N572" s="91"/>
      <c r="O572" s="59"/>
      <c r="P572" s="59"/>
    </row>
    <row r="573">
      <c r="A573" s="20"/>
      <c r="C573" s="20"/>
      <c r="D573" s="92"/>
      <c r="E573" s="93"/>
      <c r="F573" s="94"/>
      <c r="G573" s="8"/>
      <c r="I573" s="59"/>
      <c r="J573" s="20"/>
      <c r="L573" s="20"/>
      <c r="N573" s="91"/>
      <c r="O573" s="59"/>
      <c r="P573" s="59"/>
    </row>
    <row r="574">
      <c r="A574" s="20"/>
      <c r="C574" s="20"/>
      <c r="D574" s="92"/>
      <c r="E574" s="93"/>
      <c r="F574" s="94"/>
      <c r="G574" s="8"/>
      <c r="I574" s="59"/>
      <c r="J574" s="20"/>
      <c r="L574" s="20"/>
      <c r="N574" s="91"/>
      <c r="O574" s="59"/>
      <c r="P574" s="59"/>
    </row>
    <row r="575">
      <c r="A575" s="20"/>
      <c r="C575" s="20"/>
      <c r="D575" s="92"/>
      <c r="E575" s="93"/>
      <c r="F575" s="94"/>
      <c r="G575" s="8"/>
      <c r="I575" s="59"/>
      <c r="J575" s="20"/>
      <c r="L575" s="20"/>
      <c r="N575" s="91"/>
      <c r="O575" s="59"/>
      <c r="P575" s="59"/>
    </row>
    <row r="576">
      <c r="A576" s="20"/>
      <c r="C576" s="20"/>
      <c r="D576" s="92"/>
      <c r="E576" s="93"/>
      <c r="F576" s="94"/>
      <c r="G576" s="8"/>
      <c r="I576" s="59"/>
      <c r="J576" s="20"/>
      <c r="L576" s="20"/>
      <c r="N576" s="91"/>
      <c r="O576" s="59"/>
      <c r="P576" s="59"/>
    </row>
    <row r="577">
      <c r="A577" s="20"/>
      <c r="C577" s="20"/>
      <c r="D577" s="92"/>
      <c r="E577" s="93"/>
      <c r="F577" s="94"/>
      <c r="G577" s="8"/>
      <c r="I577" s="59"/>
      <c r="J577" s="20"/>
      <c r="L577" s="20"/>
      <c r="N577" s="91"/>
      <c r="O577" s="59"/>
      <c r="P577" s="59"/>
    </row>
    <row r="578">
      <c r="A578" s="20"/>
      <c r="C578" s="20"/>
      <c r="D578" s="92"/>
      <c r="E578" s="93"/>
      <c r="F578" s="94"/>
      <c r="G578" s="8"/>
      <c r="I578" s="59"/>
      <c r="J578" s="20"/>
      <c r="L578" s="20"/>
      <c r="N578" s="91"/>
      <c r="O578" s="59"/>
      <c r="P578" s="59"/>
    </row>
    <row r="579">
      <c r="A579" s="20"/>
      <c r="C579" s="20"/>
      <c r="D579" s="92"/>
      <c r="E579" s="93"/>
      <c r="F579" s="94"/>
      <c r="G579" s="8"/>
      <c r="I579" s="59"/>
      <c r="J579" s="20"/>
      <c r="L579" s="20"/>
      <c r="N579" s="91"/>
      <c r="O579" s="59"/>
      <c r="P579" s="59"/>
    </row>
    <row r="580">
      <c r="A580" s="20"/>
      <c r="C580" s="20"/>
      <c r="D580" s="92"/>
      <c r="E580" s="93"/>
      <c r="F580" s="94"/>
      <c r="G580" s="8"/>
      <c r="I580" s="59"/>
      <c r="J580" s="20"/>
      <c r="L580" s="20"/>
      <c r="N580" s="91"/>
      <c r="O580" s="59"/>
      <c r="P580" s="59"/>
    </row>
    <row r="581">
      <c r="A581" s="20"/>
      <c r="C581" s="20"/>
      <c r="D581" s="92"/>
      <c r="E581" s="93"/>
      <c r="F581" s="94"/>
      <c r="G581" s="8"/>
      <c r="I581" s="59"/>
      <c r="J581" s="20"/>
      <c r="L581" s="20"/>
      <c r="N581" s="91"/>
      <c r="O581" s="59"/>
      <c r="P581" s="59"/>
    </row>
    <row r="582">
      <c r="A582" s="20"/>
      <c r="C582" s="20"/>
      <c r="D582" s="92"/>
      <c r="E582" s="93"/>
      <c r="F582" s="94"/>
      <c r="G582" s="8"/>
      <c r="I582" s="59"/>
      <c r="J582" s="20"/>
      <c r="L582" s="20"/>
      <c r="N582" s="91"/>
      <c r="O582" s="59"/>
      <c r="P582" s="59"/>
    </row>
    <row r="583">
      <c r="A583" s="20"/>
      <c r="C583" s="20"/>
      <c r="D583" s="92"/>
      <c r="E583" s="93"/>
      <c r="F583" s="94"/>
      <c r="G583" s="8"/>
      <c r="I583" s="59"/>
      <c r="J583" s="20"/>
      <c r="L583" s="20"/>
      <c r="N583" s="91"/>
      <c r="O583" s="59"/>
      <c r="P583" s="59"/>
    </row>
    <row r="584">
      <c r="A584" s="20"/>
      <c r="C584" s="20"/>
      <c r="D584" s="92"/>
      <c r="E584" s="93"/>
      <c r="F584" s="94"/>
      <c r="G584" s="8"/>
      <c r="I584" s="59"/>
      <c r="J584" s="20"/>
      <c r="L584" s="20"/>
      <c r="N584" s="91"/>
      <c r="O584" s="59"/>
      <c r="P584" s="59"/>
    </row>
    <row r="585">
      <c r="A585" s="20"/>
      <c r="C585" s="20"/>
      <c r="D585" s="92"/>
      <c r="E585" s="93"/>
      <c r="F585" s="94"/>
      <c r="G585" s="8"/>
      <c r="I585" s="59"/>
      <c r="J585" s="20"/>
      <c r="L585" s="20"/>
      <c r="N585" s="91"/>
      <c r="O585" s="59"/>
      <c r="P585" s="59"/>
    </row>
    <row r="586">
      <c r="A586" s="20"/>
      <c r="C586" s="20"/>
      <c r="D586" s="92"/>
      <c r="E586" s="93"/>
      <c r="F586" s="94"/>
      <c r="G586" s="8"/>
      <c r="I586" s="59"/>
      <c r="J586" s="20"/>
      <c r="L586" s="20"/>
      <c r="N586" s="91"/>
      <c r="O586" s="59"/>
      <c r="P586" s="59"/>
    </row>
    <row r="587">
      <c r="A587" s="20"/>
      <c r="C587" s="20"/>
      <c r="D587" s="92"/>
      <c r="E587" s="93"/>
      <c r="F587" s="94"/>
      <c r="G587" s="8"/>
      <c r="I587" s="59"/>
      <c r="J587" s="20"/>
      <c r="L587" s="20"/>
      <c r="N587" s="91"/>
      <c r="O587" s="59"/>
      <c r="P587" s="59"/>
    </row>
    <row r="588">
      <c r="A588" s="20"/>
      <c r="C588" s="20"/>
      <c r="D588" s="92"/>
      <c r="E588" s="93"/>
      <c r="F588" s="94"/>
      <c r="G588" s="8"/>
      <c r="I588" s="59"/>
      <c r="J588" s="20"/>
      <c r="L588" s="20"/>
      <c r="N588" s="91"/>
      <c r="O588" s="59"/>
      <c r="P588" s="59"/>
    </row>
    <row r="589">
      <c r="A589" s="20"/>
      <c r="C589" s="20"/>
      <c r="D589" s="92"/>
      <c r="E589" s="93"/>
      <c r="F589" s="94"/>
      <c r="G589" s="8"/>
      <c r="I589" s="59"/>
      <c r="J589" s="20"/>
      <c r="L589" s="20"/>
      <c r="N589" s="91"/>
      <c r="O589" s="59"/>
      <c r="P589" s="59"/>
    </row>
    <row r="590">
      <c r="A590" s="20"/>
      <c r="C590" s="20"/>
      <c r="D590" s="92"/>
      <c r="E590" s="93"/>
      <c r="F590" s="94"/>
      <c r="G590" s="8"/>
      <c r="I590" s="59"/>
      <c r="J590" s="20"/>
      <c r="L590" s="20"/>
      <c r="N590" s="91"/>
      <c r="O590" s="59"/>
      <c r="P590" s="59"/>
    </row>
    <row r="591">
      <c r="A591" s="20"/>
      <c r="C591" s="20"/>
      <c r="D591" s="92"/>
      <c r="E591" s="93"/>
      <c r="F591" s="94"/>
      <c r="G591" s="8"/>
      <c r="I591" s="59"/>
      <c r="J591" s="20"/>
      <c r="L591" s="20"/>
      <c r="N591" s="91"/>
      <c r="O591" s="59"/>
      <c r="P591" s="59"/>
    </row>
    <row r="592">
      <c r="A592" s="20"/>
      <c r="C592" s="20"/>
      <c r="D592" s="92"/>
      <c r="E592" s="93"/>
      <c r="F592" s="94"/>
      <c r="G592" s="8"/>
      <c r="I592" s="59"/>
      <c r="J592" s="20"/>
      <c r="L592" s="20"/>
      <c r="N592" s="91"/>
      <c r="O592" s="59"/>
      <c r="P592" s="59"/>
    </row>
    <row r="593">
      <c r="A593" s="20"/>
      <c r="C593" s="20"/>
      <c r="D593" s="92"/>
      <c r="E593" s="93"/>
      <c r="F593" s="94"/>
      <c r="G593" s="8"/>
      <c r="I593" s="59"/>
      <c r="J593" s="20"/>
      <c r="L593" s="20"/>
      <c r="N593" s="91"/>
      <c r="O593" s="59"/>
      <c r="P593" s="59"/>
    </row>
    <row r="594">
      <c r="A594" s="20"/>
      <c r="C594" s="20"/>
      <c r="D594" s="92"/>
      <c r="E594" s="93"/>
      <c r="F594" s="94"/>
      <c r="G594" s="8"/>
      <c r="I594" s="59"/>
      <c r="J594" s="20"/>
      <c r="L594" s="20"/>
      <c r="N594" s="91"/>
      <c r="O594" s="59"/>
      <c r="P594" s="59"/>
    </row>
    <row r="595">
      <c r="A595" s="20"/>
      <c r="C595" s="20"/>
      <c r="D595" s="92"/>
      <c r="E595" s="93"/>
      <c r="F595" s="94"/>
      <c r="G595" s="8"/>
      <c r="I595" s="59"/>
      <c r="J595" s="20"/>
      <c r="L595" s="20"/>
      <c r="N595" s="91"/>
      <c r="O595" s="59"/>
      <c r="P595" s="59"/>
    </row>
    <row r="596">
      <c r="A596" s="20"/>
      <c r="C596" s="20"/>
      <c r="D596" s="92"/>
      <c r="E596" s="93"/>
      <c r="F596" s="94"/>
      <c r="G596" s="8"/>
      <c r="I596" s="59"/>
      <c r="J596" s="20"/>
      <c r="L596" s="20"/>
      <c r="N596" s="91"/>
      <c r="O596" s="59"/>
      <c r="P596" s="59"/>
    </row>
    <row r="597">
      <c r="A597" s="20"/>
      <c r="C597" s="20"/>
      <c r="D597" s="92"/>
      <c r="E597" s="93"/>
      <c r="F597" s="94"/>
      <c r="G597" s="8"/>
      <c r="I597" s="59"/>
      <c r="J597" s="20"/>
      <c r="L597" s="20"/>
      <c r="N597" s="91"/>
      <c r="O597" s="59"/>
      <c r="P597" s="59"/>
    </row>
    <row r="598">
      <c r="A598" s="20"/>
      <c r="C598" s="20"/>
      <c r="D598" s="92"/>
      <c r="E598" s="93"/>
      <c r="F598" s="94"/>
      <c r="G598" s="8"/>
      <c r="I598" s="59"/>
      <c r="J598" s="20"/>
      <c r="L598" s="20"/>
      <c r="N598" s="91"/>
      <c r="O598" s="59"/>
      <c r="P598" s="59"/>
    </row>
    <row r="599">
      <c r="A599" s="20"/>
      <c r="C599" s="20"/>
      <c r="D599" s="92"/>
      <c r="E599" s="93"/>
      <c r="F599" s="94"/>
      <c r="G599" s="8"/>
      <c r="I599" s="59"/>
      <c r="J599" s="20"/>
      <c r="L599" s="20"/>
      <c r="N599" s="91"/>
      <c r="O599" s="59"/>
      <c r="P599" s="59"/>
    </row>
    <row r="600">
      <c r="A600" s="20"/>
      <c r="C600" s="20"/>
      <c r="D600" s="92"/>
      <c r="E600" s="93"/>
      <c r="F600" s="94"/>
      <c r="G600" s="8"/>
      <c r="I600" s="59"/>
      <c r="J600" s="20"/>
      <c r="L600" s="20"/>
      <c r="N600" s="91"/>
      <c r="O600" s="59"/>
      <c r="P600" s="59"/>
    </row>
    <row r="601">
      <c r="A601" s="20"/>
      <c r="C601" s="20"/>
      <c r="D601" s="92"/>
      <c r="E601" s="93"/>
      <c r="F601" s="94"/>
      <c r="G601" s="8"/>
      <c r="I601" s="59"/>
      <c r="J601" s="20"/>
      <c r="L601" s="20"/>
      <c r="N601" s="91"/>
      <c r="O601" s="59"/>
      <c r="P601" s="59"/>
    </row>
    <row r="602">
      <c r="A602" s="20"/>
      <c r="C602" s="20"/>
      <c r="D602" s="92"/>
      <c r="E602" s="93"/>
      <c r="F602" s="94"/>
      <c r="G602" s="8"/>
      <c r="I602" s="59"/>
      <c r="J602" s="20"/>
      <c r="L602" s="20"/>
      <c r="N602" s="91"/>
      <c r="O602" s="59"/>
      <c r="P602" s="59"/>
    </row>
    <row r="603">
      <c r="A603" s="20"/>
      <c r="C603" s="20"/>
      <c r="D603" s="92"/>
      <c r="E603" s="93"/>
      <c r="F603" s="94"/>
      <c r="G603" s="8"/>
      <c r="I603" s="59"/>
      <c r="J603" s="20"/>
      <c r="L603" s="20"/>
      <c r="N603" s="91"/>
      <c r="O603" s="59"/>
      <c r="P603" s="59"/>
    </row>
    <row r="604">
      <c r="A604" s="20"/>
      <c r="C604" s="20"/>
      <c r="D604" s="92"/>
      <c r="E604" s="93"/>
      <c r="F604" s="94"/>
      <c r="G604" s="8"/>
      <c r="I604" s="59"/>
      <c r="J604" s="20"/>
      <c r="L604" s="20"/>
      <c r="N604" s="91"/>
      <c r="O604" s="59"/>
      <c r="P604" s="59"/>
    </row>
    <row r="605">
      <c r="A605" s="20"/>
      <c r="C605" s="20"/>
      <c r="D605" s="92"/>
      <c r="E605" s="93"/>
      <c r="F605" s="94"/>
      <c r="G605" s="8"/>
      <c r="I605" s="59"/>
      <c r="J605" s="20"/>
      <c r="L605" s="20"/>
      <c r="N605" s="91"/>
      <c r="O605" s="59"/>
      <c r="P605" s="59"/>
    </row>
    <row r="606">
      <c r="A606" s="20"/>
      <c r="C606" s="20"/>
      <c r="D606" s="92"/>
      <c r="E606" s="93"/>
      <c r="F606" s="94"/>
      <c r="G606" s="8"/>
      <c r="I606" s="59"/>
      <c r="J606" s="20"/>
      <c r="L606" s="20"/>
      <c r="N606" s="91"/>
      <c r="O606" s="59"/>
      <c r="P606" s="59"/>
    </row>
    <row r="607">
      <c r="A607" s="20"/>
      <c r="C607" s="20"/>
      <c r="D607" s="92"/>
      <c r="E607" s="93"/>
      <c r="F607" s="94"/>
      <c r="G607" s="8"/>
      <c r="I607" s="59"/>
      <c r="J607" s="20"/>
      <c r="L607" s="20"/>
      <c r="N607" s="91"/>
      <c r="O607" s="59"/>
      <c r="P607" s="59"/>
    </row>
    <row r="608">
      <c r="A608" s="20"/>
      <c r="C608" s="20"/>
      <c r="D608" s="92"/>
      <c r="E608" s="93"/>
      <c r="F608" s="94"/>
      <c r="G608" s="8"/>
      <c r="I608" s="59"/>
      <c r="J608" s="20"/>
      <c r="L608" s="20"/>
      <c r="N608" s="91"/>
      <c r="O608" s="59"/>
      <c r="P608" s="59"/>
    </row>
    <row r="609">
      <c r="A609" s="20"/>
      <c r="C609" s="20"/>
      <c r="D609" s="92"/>
      <c r="E609" s="93"/>
      <c r="F609" s="94"/>
      <c r="G609" s="8"/>
      <c r="I609" s="59"/>
      <c r="J609" s="20"/>
      <c r="L609" s="20"/>
      <c r="N609" s="91"/>
      <c r="O609" s="59"/>
      <c r="P609" s="59"/>
    </row>
    <row r="610">
      <c r="A610" s="20"/>
      <c r="C610" s="20"/>
      <c r="D610" s="92"/>
      <c r="E610" s="93"/>
      <c r="F610" s="94"/>
      <c r="G610" s="8"/>
      <c r="I610" s="59"/>
      <c r="J610" s="20"/>
      <c r="L610" s="20"/>
      <c r="N610" s="91"/>
      <c r="O610" s="59"/>
      <c r="P610" s="59"/>
    </row>
    <row r="611">
      <c r="A611" s="20"/>
      <c r="C611" s="20"/>
      <c r="D611" s="92"/>
      <c r="E611" s="93"/>
      <c r="F611" s="94"/>
      <c r="G611" s="8"/>
      <c r="I611" s="59"/>
      <c r="J611" s="20"/>
      <c r="L611" s="20"/>
      <c r="N611" s="91"/>
      <c r="O611" s="59"/>
      <c r="P611" s="59"/>
    </row>
    <row r="612">
      <c r="A612" s="20"/>
      <c r="C612" s="20"/>
      <c r="D612" s="92"/>
      <c r="E612" s="93"/>
      <c r="F612" s="94"/>
      <c r="G612" s="8"/>
      <c r="I612" s="59"/>
      <c r="J612" s="20"/>
      <c r="L612" s="20"/>
      <c r="N612" s="91"/>
      <c r="O612" s="59"/>
      <c r="P612" s="59"/>
    </row>
    <row r="613">
      <c r="A613" s="20"/>
      <c r="C613" s="20"/>
      <c r="D613" s="92"/>
      <c r="E613" s="93"/>
      <c r="F613" s="94"/>
      <c r="G613" s="8"/>
      <c r="I613" s="59"/>
      <c r="J613" s="20"/>
      <c r="L613" s="20"/>
      <c r="N613" s="91"/>
      <c r="O613" s="59"/>
      <c r="P613" s="59"/>
    </row>
    <row r="614">
      <c r="A614" s="20"/>
      <c r="C614" s="20"/>
      <c r="D614" s="92"/>
      <c r="E614" s="93"/>
      <c r="F614" s="94"/>
      <c r="G614" s="8"/>
      <c r="I614" s="59"/>
      <c r="J614" s="20"/>
      <c r="L614" s="20"/>
      <c r="N614" s="91"/>
      <c r="O614" s="59"/>
      <c r="P614" s="59"/>
    </row>
    <row r="615">
      <c r="A615" s="20"/>
      <c r="C615" s="20"/>
      <c r="D615" s="92"/>
      <c r="E615" s="93"/>
      <c r="F615" s="94"/>
      <c r="G615" s="8"/>
      <c r="I615" s="59"/>
      <c r="J615" s="20"/>
      <c r="L615" s="20"/>
      <c r="N615" s="91"/>
      <c r="O615" s="59"/>
      <c r="P615" s="59"/>
    </row>
    <row r="616">
      <c r="A616" s="20"/>
      <c r="C616" s="20"/>
      <c r="D616" s="92"/>
      <c r="E616" s="93"/>
      <c r="F616" s="94"/>
      <c r="G616" s="8"/>
      <c r="I616" s="59"/>
      <c r="J616" s="20"/>
      <c r="L616" s="20"/>
      <c r="N616" s="91"/>
      <c r="O616" s="59"/>
      <c r="P616" s="59"/>
    </row>
    <row r="617">
      <c r="A617" s="20"/>
      <c r="C617" s="20"/>
      <c r="D617" s="92"/>
      <c r="E617" s="93"/>
      <c r="F617" s="94"/>
      <c r="G617" s="8"/>
      <c r="I617" s="59"/>
      <c r="J617" s="20"/>
      <c r="L617" s="20"/>
      <c r="N617" s="91"/>
      <c r="O617" s="59"/>
      <c r="P617" s="59"/>
    </row>
    <row r="618">
      <c r="A618" s="20"/>
      <c r="C618" s="20"/>
      <c r="D618" s="92"/>
      <c r="E618" s="93"/>
      <c r="F618" s="94"/>
      <c r="G618" s="8"/>
      <c r="I618" s="59"/>
      <c r="J618" s="20"/>
      <c r="L618" s="20"/>
      <c r="N618" s="91"/>
      <c r="O618" s="59"/>
      <c r="P618" s="59"/>
    </row>
    <row r="619">
      <c r="A619" s="20"/>
      <c r="C619" s="20"/>
      <c r="D619" s="92"/>
      <c r="E619" s="93"/>
      <c r="F619" s="94"/>
      <c r="G619" s="8"/>
      <c r="I619" s="59"/>
      <c r="J619" s="20"/>
      <c r="L619" s="20"/>
      <c r="N619" s="91"/>
      <c r="O619" s="59"/>
      <c r="P619" s="59"/>
    </row>
    <row r="620">
      <c r="A620" s="20"/>
      <c r="C620" s="20"/>
      <c r="D620" s="92"/>
      <c r="E620" s="93"/>
      <c r="F620" s="94"/>
      <c r="G620" s="8"/>
      <c r="I620" s="59"/>
      <c r="J620" s="20"/>
      <c r="L620" s="20"/>
      <c r="N620" s="91"/>
      <c r="O620" s="59"/>
      <c r="P620" s="59"/>
    </row>
    <row r="621">
      <c r="A621" s="20"/>
      <c r="C621" s="20"/>
      <c r="D621" s="92"/>
      <c r="E621" s="93"/>
      <c r="F621" s="94"/>
      <c r="G621" s="8"/>
      <c r="I621" s="59"/>
      <c r="J621" s="20"/>
      <c r="L621" s="20"/>
      <c r="N621" s="91"/>
      <c r="O621" s="59"/>
      <c r="P621" s="59"/>
    </row>
    <row r="622">
      <c r="A622" s="20"/>
      <c r="C622" s="20"/>
      <c r="D622" s="92"/>
      <c r="E622" s="93"/>
      <c r="F622" s="94"/>
      <c r="G622" s="8"/>
      <c r="I622" s="59"/>
      <c r="J622" s="20"/>
      <c r="L622" s="20"/>
      <c r="N622" s="91"/>
      <c r="O622" s="59"/>
      <c r="P622" s="59"/>
    </row>
    <row r="623">
      <c r="A623" s="20"/>
      <c r="C623" s="20"/>
      <c r="D623" s="92"/>
      <c r="E623" s="93"/>
      <c r="F623" s="94"/>
      <c r="G623" s="8"/>
      <c r="I623" s="59"/>
      <c r="J623" s="20"/>
      <c r="L623" s="20"/>
      <c r="N623" s="91"/>
      <c r="O623" s="59"/>
      <c r="P623" s="59"/>
    </row>
    <row r="624">
      <c r="A624" s="20"/>
      <c r="C624" s="20"/>
      <c r="D624" s="92"/>
      <c r="E624" s="93"/>
      <c r="F624" s="94"/>
      <c r="G624" s="8"/>
      <c r="I624" s="59"/>
      <c r="J624" s="20"/>
      <c r="L624" s="20"/>
      <c r="N624" s="91"/>
      <c r="O624" s="59"/>
      <c r="P624" s="59"/>
    </row>
  </sheetData>
  <conditionalFormatting sqref="W5:W6">
    <cfRule type="expression" dxfId="5" priority="1">
      <formula>and(X5&lt;&gt;"",W5&lt;&gt;"",countif(W:W,W5)&lt;&gt;countif(X:X,X5))</formula>
    </cfRule>
  </conditionalFormatting>
  <conditionalFormatting sqref="W5:W6">
    <cfRule type="expression" dxfId="3" priority="2">
      <formula>"=COUNTIFS(A:A, A5, F:F, "Primary - Top") &gt; 1'"</formula>
    </cfRule>
  </conditionalFormatting>
  <conditionalFormatting sqref="F5:F624">
    <cfRule type="expression" dxfId="0" priority="3">
      <formula>and(REGEXMATCH(F5,"(?i)[\(\[\{\-][ ]*(feat|ft|explic|dirt|single|ep|video|acoustic)| feat(ur|\.| )| ft|f\/|w\/"),I5&lt;&gt;"Video")</formula>
    </cfRule>
  </conditionalFormatting>
  <conditionalFormatting sqref="N5:N624">
    <cfRule type="expression" dxfId="0" priority="4">
      <formula>and(not(N5&lt;today()),not(isblank(N5)))</formula>
    </cfRule>
  </conditionalFormatting>
  <conditionalFormatting sqref="O5:O624">
    <cfRule type="expression" dxfId="0" priority="5">
      <formula>and(not(isblank(O5)),iserror(match(O5,indirect("'Reference info'!H:H"),0)))</formula>
    </cfRule>
  </conditionalFormatting>
  <conditionalFormatting sqref="P5:P624">
    <cfRule type="expression" dxfId="0" priority="6">
      <formula>and(not(isblank(P5)), iserror(match(P5,indirect("'Reference info'!H:H"),0)))</formula>
    </cfRule>
  </conditionalFormatting>
  <conditionalFormatting sqref="A5:A624">
    <cfRule type="expression" dxfId="0" priority="7">
      <formula>or(and(not(isblank(F5)),isblank(A5)),and(not(isblank(A5)),iserror(match(A5,indirect("'2) Labels list'!a:a"),0))))</formula>
    </cfRule>
  </conditionalFormatting>
  <conditionalFormatting sqref="C5:C624">
    <cfRule type="expression" dxfId="0" priority="8">
      <formula>and(not(isblank(B5)),C5&lt;&gt;"jpeg",C5&lt;&gt;"jpg")</formula>
    </cfRule>
  </conditionalFormatting>
  <conditionalFormatting sqref="G5:G624">
    <cfRule type="expression" dxfId="0" priority="9">
      <formula>and(not(isblank(G5)),iserror(match(G5,indirect("'Reference info'!k:k"),0)))</formula>
    </cfRule>
  </conditionalFormatting>
  <conditionalFormatting sqref="I5:I624">
    <cfRule type="expression" dxfId="0" priority="10">
      <formula>and(not(isblank(I5)),iserror(match(I5,indirect("'Reference info'!g:g"),0)))</formula>
    </cfRule>
  </conditionalFormatting>
  <conditionalFormatting sqref="J5:J624 L5:L6">
    <cfRule type="expression" dxfId="0" priority="11">
      <formula>or(and(isblank(J5),not(isblank(F5))),type(J5)&lt;&gt;1,and(not(isblank(J5)),J5&lt;1900),J5&gt;Year(Now())+1)</formula>
    </cfRule>
  </conditionalFormatting>
  <conditionalFormatting sqref="L5:L624">
    <cfRule type="expression" dxfId="0" priority="12">
      <formula>or(and(isblank(L5),not(isblank(F5))),type(L5)&lt;&gt;1,and(not(isblank(L5)),L5&lt;1900),L5&gt;Year(Now())+1)</formula>
    </cfRule>
  </conditionalFormatting>
  <conditionalFormatting sqref="D5:D624">
    <cfRule type="expression" dxfId="3" priority="13">
      <formula>countif(D:D,D5)&gt;1</formula>
    </cfRule>
  </conditionalFormatting>
  <conditionalFormatting sqref="P5:P624">
    <cfRule type="expression" dxfId="3" priority="14">
      <formula>and(not(isblank(P5)),P5=O5)</formula>
    </cfRule>
  </conditionalFormatting>
  <conditionalFormatting sqref="E5:E624">
    <cfRule type="expression" dxfId="3" priority="15">
      <formula>countif(E:E,E5)&gt;1</formula>
    </cfRule>
  </conditionalFormatting>
  <conditionalFormatting sqref="D5:D624">
    <cfRule type="expression" dxfId="3" priority="16">
      <formula>countif(Q:Q,D5)&gt;0</formula>
    </cfRule>
  </conditionalFormatting>
  <conditionalFormatting sqref="E5:E624">
    <cfRule type="expression" dxfId="3" priority="17">
      <formula>countif(Q:Q,E5)&gt;0</formula>
    </cfRule>
  </conditionalFormatting>
  <dataValidations>
    <dataValidation type="list" allowBlank="1" showInputMessage="1" showErrorMessage="1" prompt="select from list, start typing or drag" sqref="O5:P624">
      <formula1>Genre</formula1>
    </dataValidation>
    <dataValidation type="custom" allowBlank="1" showDropDown="1" showInputMessage="1" showErrorMessage="1" prompt="Enter a Valid Year from after 1899" sqref="J5:J624 L5:L624">
      <formula1>and(INT(J5)=J5,J5&gt;=1900,J5&lt;=Year(Now())+1)</formula1>
    </dataValidation>
    <dataValidation type="custom" allowBlank="1" showDropDown="1" showInputMessage="1" showErrorMessage="1" prompt="must contain 2 letters, 3 character minimum, 20 character maximum, alphanumeric ONLY (letter or number; no dashes, spaces, punctuation marks, etc.)" sqref="E5:E624">
      <formula1>and(regexmatch(E5,"^[a-zA-Z0-9]*$"), len(E5)&gt;=3, len(E5)&lt;=20)</formula1>
    </dataValidation>
    <dataValidation type="custom" allowBlank="1" showDropDown="1" showInputMessage="1" showErrorMessage="1" prompt="Enter a valid UPC/EAN/JAN" sqref="W5:W6 D5:D624">
      <formula1>and(INT(D5)=D5,D5&gt;9999999999)</formula1>
    </dataValidation>
    <dataValidation type="list" allowBlank="1" showInputMessage="1" showErrorMessage="1" prompt="Click and enter a value from range" sqref="G5:G624">
      <formula1>Language</formula1>
    </dataValidation>
    <dataValidation type="list" allowBlank="1" showInputMessage="1" showErrorMessage="1" prompt="select from list, start typing or drag" sqref="I5:I624">
      <formula1>ReleaseType</formula1>
    </dataValidation>
    <dataValidation type="custom" allowBlank="1" showDropDown="1" showInputMessage="1" showErrorMessage="1" prompt="Enter a valid date." sqref="N5:N624">
      <formula1>OR(NOT(ISERROR(DATEVALUE(N5))), AND(ISNUMBER(N5), LEFT(CELL("format", N5))="D"))</formula1>
    </dataValidation>
    <dataValidation type="list" allowBlank="1" showInputMessage="1" showErrorMessage="1" prompt="select from Labels list, start typing or drag" sqref="A5:A624">
      <formula1>Label</formula1>
    </dataValidation>
    <dataValidation type="list" allowBlank="1" showInputMessage="1" showErrorMessage="1" prompt="select from list, start typing or drag" sqref="C5:C624">
      <formula1>"jpeg,jpg"</formula1>
    </dataValidation>
  </dataValidations>
  <hyperlinks>
    <hyperlink r:id="rId2" ref="B5"/>
    <hyperlink r:id="rId3" ref="B6"/>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25"/>
    <col customWidth="1" min="2" max="2" width="13.0"/>
    <col customWidth="1" min="3" max="3" width="31.13"/>
    <col customWidth="1" min="4" max="4" width="16.5"/>
    <col customWidth="1" min="5" max="5" width="50.75"/>
    <col customWidth="1" min="6" max="6" width="19.63"/>
    <col customWidth="1" min="7" max="8" width="26.63"/>
    <col customWidth="1" min="9" max="9" width="21.88"/>
    <col customWidth="1" min="10" max="10" width="8.38"/>
    <col customWidth="1" min="11" max="11" width="16.0"/>
    <col customWidth="1" min="12" max="12" width="12.13"/>
    <col customWidth="1" min="13" max="13" width="12.75"/>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IFERROR(__xludf.DUMMYFUNCTION("COUNTUNIQUE(A5:A520)-'3) Release_Label'!D1"),0.0)</f>
        <v>0</v>
      </c>
      <c r="B1" s="13">
        <f>IFERROR(__xludf.DUMMYFUNCTION("COUNTUNIQUE(B5:B520)-'3) Release_Label'!E1"),0.0)</f>
        <v>0</v>
      </c>
      <c r="C1" s="95" t="s">
        <v>94</v>
      </c>
      <c r="D1" s="96"/>
      <c r="E1" s="13">
        <f>IFERROR(__xludf.DUMMYFUNCTION("COUNTUNIQUE(E5:E520)"),2.0)</f>
        <v>2</v>
      </c>
      <c r="F1" s="22" t="s">
        <v>27</v>
      </c>
      <c r="G1" s="18">
        <f>countif(F:F,"Main Primary Artist")-'3) Release_Label'!G1</f>
        <v>0</v>
      </c>
      <c r="H1" s="97" t="s">
        <v>29</v>
      </c>
      <c r="I1" s="98"/>
    </row>
    <row r="2">
      <c r="A2" s="99" t="s">
        <v>95</v>
      </c>
      <c r="B2" s="100"/>
      <c r="C2" s="101"/>
      <c r="D2" s="102"/>
      <c r="E2" s="102"/>
      <c r="F2" s="102"/>
      <c r="G2" s="61"/>
      <c r="H2" s="61"/>
      <c r="I2" s="98"/>
    </row>
    <row r="3">
      <c r="A3" s="66" t="s">
        <v>60</v>
      </c>
      <c r="B3" s="69" t="s">
        <v>61</v>
      </c>
      <c r="C3" s="103" t="s">
        <v>62</v>
      </c>
      <c r="D3" s="103" t="s">
        <v>64</v>
      </c>
      <c r="E3" s="104" t="s">
        <v>96</v>
      </c>
      <c r="F3" s="104" t="s">
        <v>97</v>
      </c>
      <c r="G3" s="105" t="s">
        <v>98</v>
      </c>
      <c r="H3" s="18">
        <f>IFERROR(__xludf.DUMMYFUNCTION("if(iserror(filter(A:B,G:G=""Producer &amp; Engineer"")),0, countunique(filter(A:B,G:G=""Producer &amp; Engineer"")))-'3) Release_Label'!G1"),0.0)</f>
        <v>0</v>
      </c>
      <c r="I3" s="98"/>
    </row>
    <row r="4">
      <c r="A4" s="78" t="s">
        <v>99</v>
      </c>
      <c r="B4" s="80" t="s">
        <v>99</v>
      </c>
      <c r="C4" s="106" t="s">
        <v>100</v>
      </c>
      <c r="E4" s="107" t="s">
        <v>101</v>
      </c>
      <c r="F4" s="35" t="s">
        <v>79</v>
      </c>
      <c r="G4" s="108" t="s">
        <v>102</v>
      </c>
      <c r="H4" s="109"/>
    </row>
    <row r="5">
      <c r="A5" s="84">
        <v>7.89294845633E11</v>
      </c>
      <c r="B5" s="110"/>
      <c r="C5" s="111" t="str">
        <f t="array" ref="C5">ifs(and(isblank($A5),isblank($B5)),"", not(iserror(vlookup($A5&amp;$B5,'3) Release_Label'!$D:$D&amp;'3) Release_Label'!$E:$E,1,0))),vlookup($A5&amp;$B5,{'3) Release_Label'!$D:$D&amp;'3) Release_Label'!$E:$E,'3) Release_Label'!$F:$F},2,0),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Receba</v>
      </c>
      <c r="D5" s="111" t="str">
        <f t="array" ref="D5">ifs(and(isblank($A5),isblank($B5)),"", not(iserror(vlookup($A5&amp;$B5,'3) Release_Label'!$D:$D&amp;'3) Release_Label'!$E:$E,1,0))),vlookup($A5&amp;$B5,{'3) Release_Label'!$D:$D&amp;'3) Release_Label'!$E:$E,'3) Release_Label'!$H:$H},2,0),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Extended</v>
      </c>
      <c r="E5" s="43" t="s">
        <v>44</v>
      </c>
      <c r="F5" s="88" t="s">
        <v>103</v>
      </c>
      <c r="G5" s="112" t="str">
        <f t="array" ref="G5">ifs(or($F5="",$F5="Main Primary Artist"),$F5,not(iserror(vlookup($F5,'Reference info'!$J$5:$J$8,1,0))),"Key Artist",not(iserror(vlookup($F5,'Reference info'!$J$38:$J$405,1,0))),"Performer",not(iserror(vlookup($F5,'Reference info'!$J$10:$J$36,1,0))),"Producer &amp; Engineer")</f>
        <v>Main Primary Artist</v>
      </c>
      <c r="H5" s="28"/>
      <c r="I5" s="8" t="str">
        <f>IF(AND(F5="Main Primary Artist",SUBSTITUTE(E5," ","")&lt;&gt;"VariousArtists",SUBSTITUTE(E5," ","")&lt;&gt;"VariousArtist",E5&lt;&gt;"Various",SUBSTITUTE(E5," ","")&lt;&gt;"AssortedArtists",SUBSTITUTE(E5," ","")&lt;&gt;"AssortedArtist",E5&lt;&gt;"Assorted",SUBSTITUTE(E5," ","")&lt;&gt;"AsortedArtists",SUBSTITUTE(E5," ","")&lt;&gt;"AsortedArtist",E5&lt;&gt;"Asorted",E5&lt;&gt;"Other",,SUBSTITUTE(E5," ","")&lt;&gt;"MiscellaneousArtists",SUBSTITUTE(E5," ","")&lt;&gt;"MiscellaneousArtist",E5&lt;&gt;"Miscellaneous",SUBSTITUTE(E5," ","")&lt;&gt;"MiscelaneousArtists",SUBSTITUTE(E5," ","")&lt;&gt;"MiscelaneousArtist",E5&lt;&gt;"Miscelaneous"),"update Releases set ArtistId=(select ArtistId from Artists where Name=N'"&amp;SUBSTITUTE(trim(E5),"'","''")&amp;"' and EnterpriseId="&amp;EntId&amp;"), SearchKeywords=concat_ws(' ', Name, N'"&amp;SUBSTITUTE(trim(E5),"'","''")&amp;"',(select Name from Labels where LabelId=Releases.LabelId), ReleaseId, UPC, Catalog) where "&amp;IF(A5&lt;&gt;"","UPC="&amp;A5,"Catalog='"&amp;SUBSTITUTE(trim(B5),"'","''")&amp;"'")&amp;" and EnterpriseId="&amp;EntId,IF(and(F5&lt;&gt;"Main Primary Artist",SUBSTITUTE(E5," ","")&lt;&gt;"VariousArtists",SUBSTITUTE(E5," ","")&lt;&gt;"VariousArtist",E5&lt;&gt;"Various",SUBSTITUTE(E5," ","")&lt;&gt;"AssortedArtists",SUBSTITUTE(E5," ","")&lt;&gt;"AssortedArtist",E5&lt;&gt;"Assorted",SUBSTITUTE(E5," ","")&lt;&gt;"AsortedArtists",SUBSTITUTE(E5," ","")&lt;&gt;"AsortedArtist",E5&lt;&gt;"Asorted",E5&lt;&gt;"Other",,SUBSTITUTE(E5," ","")&lt;&gt;"MiscellaneousArtists",SUBSTITUTE(E5," ","")&lt;&gt;"MiscellaneousArtist",E5&lt;&gt;"Miscellaneous",SUBSTITUTE(E5," ","")&lt;&gt;"MiscelaneousArtists",SUBSTITUTE(E5," ","")&lt;&gt;"MiscelaneousArtist",E5&lt;&gt;"Miscelaneous"),"INSERT into Contributors VALUES (newid(), "&amp;IF(F5&lt;&gt;"Primary Artist", "(select RoleId from ContributorRoles where Name='"&amp;F5&amp;"'), 0", "49, 1")&amp; ", null, (select max(ReleaseId) from Releases where "&amp;IF(A5&lt;&gt;"","UPC="&amp;A5,"Catalog='"&amp;SUBSTITUTE(trim(B5),"'","''")&amp;"'")&amp;" and EnterpriseId="&amp;EntId&amp;"), (select ArtistId from Artists where Name=N'"&amp;SUBSTITUTE(trim(E5),"'","''")&amp;"' and EnterpriseId="&amp;EntId&amp;"), null)",""))</f>
        <v>update Releases set ArtistId=(select ArtistId from Artists where Name=N'JKZ' and EnterpriseId=414849), SearchKeywords=concat_ws(' ', Name, N'JKZ',(select Name from Labels where LabelId=Releases.LabelId), ReleaseId, UPC, Catalog) where UPC=789294845633 and EnterpriseId=414849</v>
      </c>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row>
    <row r="6">
      <c r="A6" s="84">
        <v>7.89294845633E11</v>
      </c>
      <c r="B6" s="110"/>
      <c r="C6" s="111" t="str">
        <f t="array" ref="C6">ifs(and(isblank($A6),isblank($B6)),"", not(iserror(vlookup($A6&amp;$B6,'3) Release_Label'!$D:$D&amp;'3) Release_Label'!$E:$E,1,0))),vlookup($A6&amp;$B6,{'3) Release_Label'!$D:$D&amp;'3) Release_Label'!$E:$E,'3) Release_Label'!$F:$F},2,0),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Receba</v>
      </c>
      <c r="D6" s="111" t="str">
        <f t="array" ref="D6">ifs(and(isblank($A6),isblank($B6)),"", not(iserror(vlookup($A6&amp;$B6,'3) Release_Label'!$D:$D&amp;'3) Release_Label'!$E:$E,1,0))),vlookup($A6&amp;$B6,{'3) Release_Label'!$D:$D&amp;'3) Release_Label'!$E:$E,'3) Release_Label'!$H:$H},2,0),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Extended</v>
      </c>
      <c r="E6" s="43" t="s">
        <v>44</v>
      </c>
      <c r="F6" s="88" t="s">
        <v>104</v>
      </c>
      <c r="G6" s="112" t="str">
        <f t="array" ref="G6">ifs(or($F6="",$F6="Main Primary Artist"),$F6,not(iserror(vlookup($F6,'Reference info'!$J$5:$J$8,1,0))),"Key Artist",not(iserror(vlookup($F6,'Reference info'!$J$38:$J$405,1,0))),"Performer",not(iserror(vlookup($F6,'Reference info'!$J$10:$J$36,1,0))),"Producer &amp; Engineer")</f>
        <v>Producer &amp; Engineer</v>
      </c>
      <c r="H6" s="46" t="s">
        <v>105</v>
      </c>
      <c r="I6" s="8" t="str">
        <f>IF(AND(F6="Main Primary Artist",SUBSTITUTE(E6," ","")&lt;&gt;"VariousArtists",SUBSTITUTE(E6," ","")&lt;&gt;"VariousArtist",E6&lt;&gt;"Various",SUBSTITUTE(E6," ","")&lt;&gt;"AssortedArtists",SUBSTITUTE(E6," ","")&lt;&gt;"AssortedArtist",E6&lt;&gt;"Assorted",SUBSTITUTE(E6," ","")&lt;&gt;"AsortedArtists",SUBSTITUTE(E6," ","")&lt;&gt;"AsortedArtist",E6&lt;&gt;"Asorted",E6&lt;&gt;"Other",,SUBSTITUTE(E6," ","")&lt;&gt;"MiscellaneousArtists",SUBSTITUTE(E6," ","")&lt;&gt;"MiscellaneousArtist",E6&lt;&gt;"Miscellaneous",SUBSTITUTE(E6," ","")&lt;&gt;"MiscelaneousArtists",SUBSTITUTE(E6," ","")&lt;&gt;"MiscelaneousArtist",E6&lt;&gt;"Miscelaneous"),"update Releases set ArtistId=(select ArtistId from Artists where Name=N'"&amp;SUBSTITUTE(trim(E6),"'","''")&amp;"' and EnterpriseId="&amp;EntId&amp;"), SearchKeywords=concat_ws(' ', Name, N'"&amp;SUBSTITUTE(trim(E6),"'","''")&amp;"',(select Name from Labels where LabelId=Releases.LabelId), ReleaseId, UPC, Catalog) where "&amp;IF(A6&lt;&gt;"","UPC="&amp;A6,"Catalog='"&amp;SUBSTITUTE(trim(B6),"'","''")&amp;"'")&amp;" and EnterpriseId="&amp;EntId,IF(and(F6&lt;&gt;"Main Primary Artist",SUBSTITUTE(E6," ","")&lt;&gt;"VariousArtists",SUBSTITUTE(E6," ","")&lt;&gt;"VariousArtist",E6&lt;&gt;"Various",SUBSTITUTE(E6," ","")&lt;&gt;"AssortedArtists",SUBSTITUTE(E6," ","")&lt;&gt;"AssortedArtist",E6&lt;&gt;"Assorted",SUBSTITUTE(E6," ","")&lt;&gt;"AsortedArtists",SUBSTITUTE(E6," ","")&lt;&gt;"AsortedArtist",E6&lt;&gt;"Asorted",E6&lt;&gt;"Other",,SUBSTITUTE(E6," ","")&lt;&gt;"MiscellaneousArtists",SUBSTITUTE(E6," ","")&lt;&gt;"MiscellaneousArtist",E6&lt;&gt;"Miscellaneous",SUBSTITUTE(E6," ","")&lt;&gt;"MiscelaneousArtists",SUBSTITUTE(E6," ","")&lt;&gt;"MiscelaneousArtist",E6&lt;&gt;"Miscelaneous"),"INSERT into Contributors VALUES (newid(), "&amp;IF(F6&lt;&gt;"Primary Artist", "(select RoleId from ContributorRoles where Name='"&amp;F6&amp;"'), 0", "49, 1")&amp; ", null, (select max(ReleaseId) from Releases where "&amp;IF(A6&lt;&gt;"","UPC="&amp;A6,"Catalog='"&amp;SUBSTITUTE(trim(B6),"'","''")&amp;"'")&amp;" and EnterpriseId="&amp;EntId&amp;"), (select ArtistId from Artists where Name=N'"&amp;SUBSTITUTE(trim(E6),"'","''")&amp;"' and EnterpriseId="&amp;EntId&amp;"), null)",""))</f>
        <v>INSERT into Contributors VALUES (newid(), (select RoleId from ContributorRoles where Name='Producer'), 0, null, (select max(ReleaseId) from Releases where UPC=789294845633 and EnterpriseId=414849), (select ArtistId from Artists where Name=N'JKZ' and EnterpriseId=414849), null)</v>
      </c>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row>
    <row r="7">
      <c r="A7" s="84">
        <v>7.89294845633E11</v>
      </c>
      <c r="B7" s="110"/>
      <c r="C7" s="111" t="str">
        <f t="array" ref="C7">ifs(and(isblank($A7),isblank($B7)),"", not(iserror(vlookup($A7&amp;$B7,'3) Release_Label'!$D:$D&amp;'3) Release_Label'!$E:$E,1,0))),vlookup($A7&amp;$B7,{'3) Release_Label'!$D:$D&amp;'3) Release_Label'!$E:$E,'3) Release_Label'!$F:$F},2,0),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Receba</v>
      </c>
      <c r="D7" s="111" t="str">
        <f t="array" ref="D7">ifs(and(isblank($A7),isblank($B7)),"", not(iserror(vlookup($A7&amp;$B7,'3) Release_Label'!$D:$D&amp;'3) Release_Label'!$E:$E,1,0))),vlookup($A7&amp;$B7,{'3) Release_Label'!$D:$D&amp;'3) Release_Label'!$E:$E,'3) Release_Label'!$H:$H},2,0),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Extended</v>
      </c>
      <c r="E7" s="43" t="s">
        <v>44</v>
      </c>
      <c r="F7" s="88" t="s">
        <v>106</v>
      </c>
      <c r="G7" s="112" t="str">
        <f t="array" ref="G7">ifs(or($F7="",$F7="Main Primary Artist"),$F7,not(iserror(vlookup($F7,'Reference info'!$J$5:$J$8,1,0))),"Key Artist",not(iserror(vlookup($F7,'Reference info'!$J$38:$J$405,1,0))),"Performer",not(iserror(vlookup($F7,'Reference info'!$J$10:$J$36,1,0))),"Producer &amp; Engineer")</f>
        <v>Producer &amp; Engineer</v>
      </c>
      <c r="H7" s="46" t="s">
        <v>107</v>
      </c>
      <c r="I7" s="8" t="str">
        <f>IF(AND(F7="Main Primary Artist",SUBSTITUTE(E7," ","")&lt;&gt;"VariousArtists",SUBSTITUTE(E7," ","")&lt;&gt;"VariousArtist",E7&lt;&gt;"Various",SUBSTITUTE(E7," ","")&lt;&gt;"AssortedArtists",SUBSTITUTE(E7," ","")&lt;&gt;"AssortedArtist",E7&lt;&gt;"Assorted",SUBSTITUTE(E7," ","")&lt;&gt;"AsortedArtists",SUBSTITUTE(E7," ","")&lt;&gt;"AsortedArtist",E7&lt;&gt;"Asorted",E7&lt;&gt;"Other",,SUBSTITUTE(E7," ","")&lt;&gt;"MiscellaneousArtists",SUBSTITUTE(E7," ","")&lt;&gt;"MiscellaneousArtist",E7&lt;&gt;"Miscellaneous",SUBSTITUTE(E7," ","")&lt;&gt;"MiscelaneousArtists",SUBSTITUTE(E7," ","")&lt;&gt;"MiscelaneousArtist",E7&lt;&gt;"Miscelaneous"),"update Releases set ArtistId=(select ArtistId from Artists where Name=N'"&amp;SUBSTITUTE(trim(E7),"'","''")&amp;"' and EnterpriseId="&amp;EntId&amp;"), SearchKeywords=concat_ws(' ', Name, N'"&amp;SUBSTITUTE(trim(E7),"'","''")&amp;"',(select Name from Labels where LabelId=Releases.LabelId), ReleaseId, UPC, Catalog) where "&amp;IF(A7&lt;&gt;"","UPC="&amp;A7,"Catalog='"&amp;SUBSTITUTE(trim(B7),"'","''")&amp;"'")&amp;" and EnterpriseId="&amp;EntId,IF(and(F7&lt;&gt;"Main Primary Artist",SUBSTITUTE(E7," ","")&lt;&gt;"VariousArtists",SUBSTITUTE(E7," ","")&lt;&gt;"VariousArtist",E7&lt;&gt;"Various",SUBSTITUTE(E7," ","")&lt;&gt;"AssortedArtists",SUBSTITUTE(E7," ","")&lt;&gt;"AssortedArtist",E7&lt;&gt;"Assorted",SUBSTITUTE(E7," ","")&lt;&gt;"AsortedArtists",SUBSTITUTE(E7," ","")&lt;&gt;"AsortedArtist",E7&lt;&gt;"Asorted",E7&lt;&gt;"Other",,SUBSTITUTE(E7," ","")&lt;&gt;"MiscellaneousArtists",SUBSTITUTE(E7," ","")&lt;&gt;"MiscellaneousArtist",E7&lt;&gt;"Miscellaneous",SUBSTITUTE(E7," ","")&lt;&gt;"MiscelaneousArtists",SUBSTITUTE(E7," ","")&lt;&gt;"MiscelaneousArtist",E7&lt;&gt;"Miscelaneous"),"INSERT into Contributors VALUES (newid(), "&amp;IF(F7&lt;&gt;"Primary Artist", "(select RoleId from ContributorRoles where Name='"&amp;F7&amp;"'), 0", "49, 1")&amp; ", null, (select max(ReleaseId) from Releases where "&amp;IF(A7&lt;&gt;"","UPC="&amp;A7,"Catalog='"&amp;SUBSTITUTE(trim(B7),"'","''")&amp;"'")&amp;" and EnterpriseId="&amp;EntId&amp;"), (select ArtistId from Artists where Name=N'"&amp;SUBSTITUTE(trim(E7),"'","''")&amp;"' and EnterpriseId="&amp;EntId&amp;"), null)",""))</f>
        <v>INSERT into Contributors VALUES (newid(), (select RoleId from ContributorRoles where Name='Engineer'), 0, null, (select max(ReleaseId) from Releases where UPC=789294845633 and EnterpriseId=414849), (select ArtistId from Artists where Name=N'JKZ' and EnterpriseId=414849), null)</v>
      </c>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row>
    <row r="8">
      <c r="A8" s="84">
        <v>7.89294962088E11</v>
      </c>
      <c r="B8" s="110"/>
      <c r="C8" s="111" t="str">
        <f t="array" ref="C8">ifs(and(isblank($A8),isblank($B8)),"", not(iserror(vlookup($A8&amp;$B8,'3) Release_Label'!$D:$D&amp;'3) Release_Label'!$E:$E,1,0))),vlookup($A8&amp;$B8,{'3) Release_Label'!$D:$D&amp;'3) Release_Label'!$E:$E,'3) Release_Label'!$F:$F},2,0),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A Cláusula do Contrato</v>
      </c>
      <c r="D8" s="111" t="str">
        <f t="array" ref="D8">ifs(and(isblank($A8),isblank($B8)),"", not(iserror(vlookup($A8&amp;$B8,'3) Release_Label'!$D:$D&amp;'3) Release_Label'!$E:$E,1,0))),vlookup($A8&amp;$B8,{'3) Release_Label'!$D:$D&amp;'3) Release_Label'!$E:$E,'3) Release_Label'!$H:$H},2,0),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E8" s="43" t="s">
        <v>47</v>
      </c>
      <c r="F8" s="88" t="s">
        <v>103</v>
      </c>
      <c r="G8" s="112" t="str">
        <f t="array" ref="G8">ifs(or($F8="",$F8="Main Primary Artist"),$F8,not(iserror(vlookup($F8,'Reference info'!$J$5:$J$8,1,0))),"Key Artist",not(iserror(vlookup($F8,'Reference info'!$J$38:$J$405,1,0))),"Performer",not(iserror(vlookup($F8,'Reference info'!$J$10:$J$36,1,0))),"Producer &amp; Engineer")</f>
        <v>Main Primary Artist</v>
      </c>
      <c r="H8" s="113" t="str">
        <f>IFERROR(__xludf.DUMMYFUNCTION("sort(if(countif(filter($A:$B,$F:$F=""Main Primary Artist""),'3) Release_Label'!$D$5:$E520)=0,'3) Release_Label'!$D$5:$E520,))"),"#REF!")</f>
        <v>#REF!</v>
      </c>
      <c r="I8" s="8" t="str">
        <f>IF(AND(F8="Main Primary Artist",SUBSTITUTE(E8," ","")&lt;&gt;"VariousArtists",SUBSTITUTE(E8," ","")&lt;&gt;"VariousArtist",E8&lt;&gt;"Various",SUBSTITUTE(E8," ","")&lt;&gt;"AssortedArtists",SUBSTITUTE(E8," ","")&lt;&gt;"AssortedArtist",E8&lt;&gt;"Assorted",SUBSTITUTE(E8," ","")&lt;&gt;"AsortedArtists",SUBSTITUTE(E8," ","")&lt;&gt;"AsortedArtist",E8&lt;&gt;"Asorted",E8&lt;&gt;"Other",,SUBSTITUTE(E8," ","")&lt;&gt;"MiscellaneousArtists",SUBSTITUTE(E8," ","")&lt;&gt;"MiscellaneousArtist",E8&lt;&gt;"Miscellaneous",SUBSTITUTE(E8," ","")&lt;&gt;"MiscelaneousArtists",SUBSTITUTE(E8," ","")&lt;&gt;"MiscelaneousArtist",E8&lt;&gt;"Miscelaneous"),"update Releases set ArtistId=(select ArtistId from Artists where Name=N'"&amp;SUBSTITUTE(trim(E8),"'","''")&amp;"' and EnterpriseId="&amp;EntId&amp;"), SearchKeywords=concat_ws(' ', Name, N'"&amp;SUBSTITUTE(trim(E8),"'","''")&amp;"',(select Name from Labels where LabelId=Releases.LabelId), ReleaseId, UPC, Catalog) where "&amp;IF(A8&lt;&gt;"","UPC="&amp;A8,"Catalog='"&amp;SUBSTITUTE(trim(B8),"'","''")&amp;"'")&amp;" and EnterpriseId="&amp;EntId,IF(and(F8&lt;&gt;"Main Primary Artist",SUBSTITUTE(E8," ","")&lt;&gt;"VariousArtists",SUBSTITUTE(E8," ","")&lt;&gt;"VariousArtist",E8&lt;&gt;"Various",SUBSTITUTE(E8," ","")&lt;&gt;"AssortedArtists",SUBSTITUTE(E8," ","")&lt;&gt;"AssortedArtist",E8&lt;&gt;"Assorted",SUBSTITUTE(E8," ","")&lt;&gt;"AsortedArtists",SUBSTITUTE(E8," ","")&lt;&gt;"AsortedArtist",E8&lt;&gt;"Asorted",E8&lt;&gt;"Other",,SUBSTITUTE(E8," ","")&lt;&gt;"MiscellaneousArtists",SUBSTITUTE(E8," ","")&lt;&gt;"MiscellaneousArtist",E8&lt;&gt;"Miscellaneous",SUBSTITUTE(E8," ","")&lt;&gt;"MiscelaneousArtists",SUBSTITUTE(E8," ","")&lt;&gt;"MiscelaneousArtist",E8&lt;&gt;"Miscelaneous"),"INSERT into Contributors VALUES (newid(), "&amp;IF(F8&lt;&gt;"Primary Artist", "(select RoleId from ContributorRoles where Name='"&amp;F8&amp;"'), 0", "49, 1")&amp; ", null, (select max(ReleaseId) from Releases where "&amp;IF(A8&lt;&gt;"","UPC="&amp;A8,"Catalog='"&amp;SUBSTITUTE(trim(B8),"'","''")&amp;"'")&amp;" and EnterpriseId="&amp;EntId&amp;"), (select ArtistId from Artists where Name=N'"&amp;SUBSTITUTE(trim(E8),"'","''")&amp;"' and EnterpriseId="&amp;EntId&amp;"), null)",""))</f>
        <v>update Releases set ArtistId=(select ArtistId from Artists where Name=N'Flash Beats Manow' and EnterpriseId=414849), SearchKeywords=concat_ws(' ', Name, N'Flash Beats Manow',(select Name from Labels where LabelId=Releases.LabelId), ReleaseId, UPC, Catalog) where UPC=789294962088 and EnterpriseId=414849</v>
      </c>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row>
    <row r="9">
      <c r="A9" s="84">
        <v>7.89294962088E11</v>
      </c>
      <c r="B9" s="110"/>
      <c r="C9" s="111" t="str">
        <f t="array" ref="C9">ifs(and(isblank($A9),isblank($B9)),"", not(iserror(vlookup($A9&amp;$B9,'3) Release_Label'!$D:$D&amp;'3) Release_Label'!$E:$E,1,0))),vlookup($A9&amp;$B9,{'3) Release_Label'!$D:$D&amp;'3) Release_Label'!$E:$E,'3) Release_Label'!$F:$F},2,0),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A Cláusula do Contrato</v>
      </c>
      <c r="D9" s="111" t="str">
        <f t="array" ref="D9">ifs(and(isblank($A9),isblank($B9)),"", not(iserror(vlookup($A9&amp;$B9,'3) Release_Label'!$D:$D&amp;'3) Release_Label'!$E:$E,1,0))),vlookup($A9&amp;$B9,{'3) Release_Label'!$D:$D&amp;'3) Release_Label'!$E:$E,'3) Release_Label'!$H:$H},2,0),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E9" s="43" t="s">
        <v>47</v>
      </c>
      <c r="F9" s="88" t="s">
        <v>104</v>
      </c>
      <c r="G9" s="112" t="str">
        <f t="array" ref="G9">ifs(or($F9="",$F9="Main Primary Artist"),$F9,not(iserror(vlookup($F9,'Reference info'!$J$5:$J$8,1,0))),"Key Artist",not(iserror(vlookup($F9,'Reference info'!$J$38:$J$405,1,0))),"Performer",not(iserror(vlookup($F9,'Reference info'!$J$10:$J$36,1,0))),"Producer &amp; Engineer")</f>
        <v>Producer &amp; Engineer</v>
      </c>
      <c r="H9" s="113"/>
      <c r="I9" s="8" t="str">
        <f>IF(AND(F9="Main Primary Artist",SUBSTITUTE(E9," ","")&lt;&gt;"VariousArtists",SUBSTITUTE(E9," ","")&lt;&gt;"VariousArtist",E9&lt;&gt;"Various",SUBSTITUTE(E9," ","")&lt;&gt;"AssortedArtists",SUBSTITUTE(E9," ","")&lt;&gt;"AssortedArtist",E9&lt;&gt;"Assorted",SUBSTITUTE(E9," ","")&lt;&gt;"AsortedArtists",SUBSTITUTE(E9," ","")&lt;&gt;"AsortedArtist",E9&lt;&gt;"Asorted",E9&lt;&gt;"Other",,SUBSTITUTE(E9," ","")&lt;&gt;"MiscellaneousArtists",SUBSTITUTE(E9," ","")&lt;&gt;"MiscellaneousArtist",E9&lt;&gt;"Miscellaneous",SUBSTITUTE(E9," ","")&lt;&gt;"MiscelaneousArtists",SUBSTITUTE(E9," ","")&lt;&gt;"MiscelaneousArtist",E9&lt;&gt;"Miscelaneous"),"update Releases set ArtistId=(select ArtistId from Artists where Name=N'"&amp;SUBSTITUTE(trim(E9),"'","''")&amp;"' and EnterpriseId="&amp;EntId&amp;"), SearchKeywords=concat_ws(' ', Name, N'"&amp;SUBSTITUTE(trim(E9),"'","''")&amp;"',(select Name from Labels where LabelId=Releases.LabelId), ReleaseId, UPC, Catalog) where "&amp;IF(A9&lt;&gt;"","UPC="&amp;A9,"Catalog='"&amp;SUBSTITUTE(trim(B9),"'","''")&amp;"'")&amp;" and EnterpriseId="&amp;EntId,IF(and(F9&lt;&gt;"Main Primary Artist",SUBSTITUTE(E9," ","")&lt;&gt;"VariousArtists",SUBSTITUTE(E9," ","")&lt;&gt;"VariousArtist",E9&lt;&gt;"Various",SUBSTITUTE(E9," ","")&lt;&gt;"AssortedArtists",SUBSTITUTE(E9," ","")&lt;&gt;"AssortedArtist",E9&lt;&gt;"Assorted",SUBSTITUTE(E9," ","")&lt;&gt;"AsortedArtists",SUBSTITUTE(E9," ","")&lt;&gt;"AsortedArtist",E9&lt;&gt;"Asorted",E9&lt;&gt;"Other",,SUBSTITUTE(E9," ","")&lt;&gt;"MiscellaneousArtists",SUBSTITUTE(E9," ","")&lt;&gt;"MiscellaneousArtist",E9&lt;&gt;"Miscellaneous",SUBSTITUTE(E9," ","")&lt;&gt;"MiscelaneousArtists",SUBSTITUTE(E9," ","")&lt;&gt;"MiscelaneousArtist",E9&lt;&gt;"Miscelaneous"),"INSERT into Contributors VALUES (newid(), "&amp;IF(F9&lt;&gt;"Primary Artist", "(select RoleId from ContributorRoles where Name='"&amp;F9&amp;"'), 0", "49, 1")&amp; ", null, (select max(ReleaseId) from Releases where "&amp;IF(A9&lt;&gt;"","UPC="&amp;A9,"Catalog='"&amp;SUBSTITUTE(trim(B9),"'","''")&amp;"'")&amp;" and EnterpriseId="&amp;EntId&amp;"), (select ArtistId from Artists where Name=N'"&amp;SUBSTITUTE(trim(E9),"'","''")&amp;"' and EnterpriseId="&amp;EntId&amp;"), null)",""))</f>
        <v>INSERT into Contributors VALUES (newid(), (select RoleId from ContributorRoles where Name='Producer'), 0, null, (select max(ReleaseId) from Releases where UPC=789294962088 and EnterpriseId=414849), (select ArtistId from Artists where Name=N'Flash Beats Manow' and EnterpriseId=414849), null)</v>
      </c>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row>
    <row r="10">
      <c r="A10" s="84">
        <v>7.89294962088E11</v>
      </c>
      <c r="B10" s="110"/>
      <c r="C10" s="111" t="str">
        <f t="array" ref="C10">ifs(and(isblank($A10),isblank($B10)),"", not(iserror(vlookup($A10&amp;$B10,'3) Release_Label'!$D:$D&amp;'3) Release_Label'!$E:$E,1,0))),vlookup($A10&amp;$B10,{'3) Release_Label'!$D:$D&amp;'3) Release_Label'!$E:$E,'3) Release_Label'!$F:$F},2,0),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A Cláusula do Contrato</v>
      </c>
      <c r="D10" s="111" t="str">
        <f t="array" ref="D10">ifs(and(isblank($A10),isblank($B10)),"", not(iserror(vlookup($A10&amp;$B10,'3) Release_Label'!$D:$D&amp;'3) Release_Label'!$E:$E,1,0))),vlookup($A10&amp;$B10,{'3) Release_Label'!$D:$D&amp;'3) Release_Label'!$E:$E,'3) Release_Label'!$H:$H},2,0),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E10" s="43" t="s">
        <v>47</v>
      </c>
      <c r="F10" s="88" t="s">
        <v>106</v>
      </c>
      <c r="G10" s="112" t="str">
        <f t="array" ref="G10">ifs(or($F10="",$F10="Main Primary Artist"),$F10,not(iserror(vlookup($F10,'Reference info'!$J$5:$J$8,1,0))),"Key Artist",not(iserror(vlookup($F10,'Reference info'!$J$38:$J$405,1,0))),"Performer",not(iserror(vlookup($F10,'Reference info'!$J$10:$J$36,1,0))),"Producer &amp; Engineer")</f>
        <v>Producer &amp; Engineer</v>
      </c>
      <c r="H10" s="28"/>
      <c r="I10" s="8" t="str">
        <f>IF(AND(F10="Main Primary Artist",SUBSTITUTE(E10," ","")&lt;&gt;"VariousArtists",SUBSTITUTE(E10," ","")&lt;&gt;"VariousArtist",E10&lt;&gt;"Various",SUBSTITUTE(E10," ","")&lt;&gt;"AssortedArtists",SUBSTITUTE(E10," ","")&lt;&gt;"AssortedArtist",E10&lt;&gt;"Assorted",SUBSTITUTE(E10," ","")&lt;&gt;"AsortedArtists",SUBSTITUTE(E10," ","")&lt;&gt;"AsortedArtist",E10&lt;&gt;"Asorted",E10&lt;&gt;"Other",,SUBSTITUTE(E10," ","")&lt;&gt;"MiscellaneousArtists",SUBSTITUTE(E10," ","")&lt;&gt;"MiscellaneousArtist",E10&lt;&gt;"Miscellaneous",SUBSTITUTE(E10," ","")&lt;&gt;"MiscelaneousArtists",SUBSTITUTE(E10," ","")&lt;&gt;"MiscelaneousArtist",E10&lt;&gt;"Miscelaneous"),"update Releases set ArtistId=(select ArtistId from Artists where Name=N'"&amp;SUBSTITUTE(trim(E10),"'","''")&amp;"' and EnterpriseId="&amp;EntId&amp;"), SearchKeywords=concat_ws(' ', Name, N'"&amp;SUBSTITUTE(trim(E10),"'","''")&amp;"',(select Name from Labels where LabelId=Releases.LabelId), ReleaseId, UPC, Catalog) where "&amp;IF(A10&lt;&gt;"","UPC="&amp;A10,"Catalog='"&amp;SUBSTITUTE(trim(B10),"'","''")&amp;"'")&amp;" and EnterpriseId="&amp;EntId,IF(and(F10&lt;&gt;"Main Primary Artist",SUBSTITUTE(E10," ","")&lt;&gt;"VariousArtists",SUBSTITUTE(E10," ","")&lt;&gt;"VariousArtist",E10&lt;&gt;"Various",SUBSTITUTE(E10," ","")&lt;&gt;"AssortedArtists",SUBSTITUTE(E10," ","")&lt;&gt;"AssortedArtist",E10&lt;&gt;"Assorted",SUBSTITUTE(E10," ","")&lt;&gt;"AsortedArtists",SUBSTITUTE(E10," ","")&lt;&gt;"AsortedArtist",E10&lt;&gt;"Asorted",E10&lt;&gt;"Other",,SUBSTITUTE(E10," ","")&lt;&gt;"MiscellaneousArtists",SUBSTITUTE(E10," ","")&lt;&gt;"MiscellaneousArtist",E10&lt;&gt;"Miscellaneous",SUBSTITUTE(E10," ","")&lt;&gt;"MiscelaneousArtists",SUBSTITUTE(E10," ","")&lt;&gt;"MiscelaneousArtist",E10&lt;&gt;"Miscelaneous"),"INSERT into Contributors VALUES (newid(), "&amp;IF(F10&lt;&gt;"Primary Artist", "(select RoleId from ContributorRoles where Name='"&amp;F10&amp;"'), 0", "49, 1")&amp; ", null, (select max(ReleaseId) from Releases where "&amp;IF(A10&lt;&gt;"","UPC="&amp;A10,"Catalog='"&amp;SUBSTITUTE(trim(B10),"'","''")&amp;"'")&amp;" and EnterpriseId="&amp;EntId&amp;"), (select ArtistId from Artists where Name=N'"&amp;SUBSTITUTE(trim(E10),"'","''")&amp;"' and EnterpriseId="&amp;EntId&amp;"), null)",""))</f>
        <v>INSERT into Contributors VALUES (newid(), (select RoleId from ContributorRoles where Name='Engineer'), 0, null, (select max(ReleaseId) from Releases where UPC=789294962088 and EnterpriseId=414849), (select ArtistId from Artists where Name=N'Flash Beats Manow' and EnterpriseId=414849), null)</v>
      </c>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row>
    <row r="11">
      <c r="A11" s="28"/>
      <c r="B11" s="93"/>
      <c r="C11" s="114"/>
      <c r="D11" s="114"/>
      <c r="E11" s="20"/>
      <c r="F11" s="20"/>
      <c r="G11" s="34" t="str">
        <f t="array" ref="G11">ifs(or($F11="",$F11="Main Primary Artist"),$F11,not(iserror(vlookup($F11,'Reference info'!$J$5:$J$8,1,0))),"Key Artist",not(iserror(vlookup($F11,'Reference info'!$J$38:$J$405,1,0))),"Performer",not(iserror(vlookup($F11,'Reference info'!$J$10:$J$36,1,0))),"Producer &amp; Engineer")</f>
        <v/>
      </c>
    </row>
    <row r="12">
      <c r="A12" s="28"/>
      <c r="B12" s="93"/>
      <c r="C12" s="114"/>
      <c r="D12" s="114"/>
      <c r="E12" s="20"/>
      <c r="F12" s="20"/>
      <c r="G12" s="34" t="str">
        <f t="array" ref="G12">ifs(or($F12="",$F12="Main Primary Artist"),$F12,not(iserror(vlookup($F12,'Reference info'!$J$5:$J$8,1,0))),"Key Artist",not(iserror(vlookup($F12,'Reference info'!$J$38:$J$405,1,0))),"Performer",not(iserror(vlookup($F12,'Reference info'!$J$10:$J$36,1,0))),"Producer &amp; Engineer")</f>
        <v/>
      </c>
    </row>
    <row r="13">
      <c r="A13" s="28"/>
      <c r="B13" s="93"/>
      <c r="C13" s="114"/>
      <c r="D13" s="114"/>
      <c r="E13" s="20"/>
      <c r="F13" s="20"/>
      <c r="G13" s="34" t="str">
        <f t="array" ref="G13">ifs(or($F13="",$F13="Main Primary Artist"),$F13,not(iserror(vlookup($F13,'Reference info'!$J$5:$J$8,1,0))),"Key Artist",not(iserror(vlookup($F13,'Reference info'!$J$38:$J$405,1,0))),"Performer",not(iserror(vlookup($F13,'Reference info'!$J$10:$J$36,1,0))),"Producer &amp; Engineer")</f>
        <v/>
      </c>
    </row>
    <row r="14">
      <c r="A14" s="28"/>
      <c r="B14" s="93"/>
      <c r="C14" s="114"/>
      <c r="D14" s="114"/>
      <c r="E14" s="20"/>
      <c r="F14" s="20"/>
      <c r="G14" s="34" t="str">
        <f t="array" ref="G14">ifs(or($F14="",$F14="Main Primary Artist"),$F14,not(iserror(vlookup($F14,'Reference info'!$J$5:$J$8,1,0))),"Key Artist",not(iserror(vlookup($F14,'Reference info'!$J$38:$J$405,1,0))),"Performer",not(iserror(vlookup($F14,'Reference info'!$J$10:$J$36,1,0))),"Producer &amp; Engineer")</f>
        <v/>
      </c>
    </row>
    <row r="15">
      <c r="A15" s="28"/>
      <c r="B15" s="93"/>
      <c r="C15" s="114"/>
      <c r="D15" s="114"/>
      <c r="E15" s="20"/>
      <c r="F15" s="20"/>
      <c r="G15" s="34" t="str">
        <f t="array" ref="G15">ifs(or($F15="",$F15="Main Primary Artist"),$F15,not(iserror(vlookup($F15,'Reference info'!$J$5:$J$8,1,0))),"Key Artist",not(iserror(vlookup($F15,'Reference info'!$J$38:$J$405,1,0))),"Performer",not(iserror(vlookup($F15,'Reference info'!$J$10:$J$36,1,0))),"Producer &amp; Engineer")</f>
        <v/>
      </c>
    </row>
    <row r="16">
      <c r="A16" s="28"/>
      <c r="B16" s="93"/>
      <c r="C16" s="114"/>
      <c r="D16" s="114"/>
      <c r="E16" s="20"/>
      <c r="F16" s="20"/>
      <c r="G16" s="34" t="str">
        <f t="array" ref="G16">ifs(or($F16="",$F16="Main Primary Artist"),$F16,not(iserror(vlookup($F16,'Reference info'!$J$5:$J$8,1,0))),"Key Artist",not(iserror(vlookup($F16,'Reference info'!$J$38:$J$405,1,0))),"Performer",not(iserror(vlookup($F16,'Reference info'!$J$10:$J$36,1,0))),"Producer &amp; Engineer")</f>
        <v/>
      </c>
    </row>
    <row r="17">
      <c r="A17" s="28"/>
      <c r="B17" s="93"/>
      <c r="C17" s="114"/>
      <c r="D17" s="114"/>
      <c r="E17" s="20"/>
      <c r="F17" s="20"/>
      <c r="G17" s="34" t="str">
        <f t="array" ref="G17">ifs(or($F17="",$F17="Main Primary Artist"),$F17,not(iserror(vlookup($F17,'Reference info'!$J$5:$J$8,1,0))),"Key Artist",not(iserror(vlookup($F17,'Reference info'!$J$38:$J$405,1,0))),"Performer",not(iserror(vlookup($F17,'Reference info'!$J$10:$J$36,1,0))),"Producer &amp; Engineer")</f>
        <v/>
      </c>
    </row>
    <row r="18">
      <c r="A18" s="28"/>
      <c r="B18" s="93"/>
      <c r="C18" s="114"/>
      <c r="D18" s="114"/>
      <c r="E18" s="20"/>
      <c r="F18" s="20"/>
      <c r="G18" s="34" t="str">
        <f t="array" ref="G18">ifs(or($F18="",$F18="Main Primary Artist"),$F18,not(iserror(vlookup($F18,'Reference info'!$J$5:$J$8,1,0))),"Key Artist",not(iserror(vlookup($F18,'Reference info'!$J$38:$J$405,1,0))),"Performer",not(iserror(vlookup($F18,'Reference info'!$J$10:$J$36,1,0))),"Producer &amp; Engineer")</f>
        <v/>
      </c>
    </row>
    <row r="19">
      <c r="A19" s="28"/>
      <c r="B19" s="93"/>
      <c r="C19" s="114"/>
      <c r="D19" s="114"/>
      <c r="E19" s="20"/>
      <c r="F19" s="20"/>
      <c r="G19" s="34" t="str">
        <f t="array" ref="G19">ifs(or($F19="",$F19="Main Primary Artist"),$F19,not(iserror(vlookup($F19,'Reference info'!$J$5:$J$8,1,0))),"Key Artist",not(iserror(vlookup($F19,'Reference info'!$J$38:$J$405,1,0))),"Performer",not(iserror(vlookup($F19,'Reference info'!$J$10:$J$36,1,0))),"Producer &amp; Engineer")</f>
        <v/>
      </c>
    </row>
    <row r="20">
      <c r="A20" s="28"/>
      <c r="B20" s="93"/>
      <c r="C20" s="114"/>
      <c r="D20" s="114"/>
      <c r="E20" s="20"/>
      <c r="F20" s="20"/>
      <c r="G20" s="34" t="str">
        <f t="array" ref="G20">ifs(or($F20="",$F20="Main Primary Artist"),$F20,not(iserror(vlookup($F20,'Reference info'!$J$5:$J$8,1,0))),"Key Artist",not(iserror(vlookup($F20,'Reference info'!$J$38:$J$405,1,0))),"Performer",not(iserror(vlookup($F20,'Reference info'!$J$10:$J$36,1,0))),"Producer &amp; Engineer")</f>
        <v/>
      </c>
    </row>
    <row r="21">
      <c r="A21" s="28"/>
      <c r="B21" s="93"/>
      <c r="C21" s="114"/>
      <c r="D21" s="114"/>
      <c r="E21" s="20"/>
      <c r="F21" s="20"/>
      <c r="G21" s="34" t="str">
        <f t="array" ref="G21">ifs(or($F21="",$F21="Main Primary Artist"),$F21,not(iserror(vlookup($F21,'Reference info'!$J$5:$J$8,1,0))),"Key Artist",not(iserror(vlookup($F21,'Reference info'!$J$38:$J$405,1,0))),"Performer",not(iserror(vlookup($F21,'Reference info'!$J$10:$J$36,1,0))),"Producer &amp; Engineer")</f>
        <v/>
      </c>
    </row>
    <row r="22">
      <c r="A22" s="28"/>
      <c r="B22" s="93"/>
      <c r="C22" s="114"/>
      <c r="D22" s="114"/>
      <c r="E22" s="20"/>
      <c r="F22" s="20"/>
      <c r="G22" s="34" t="str">
        <f t="array" ref="G22">ifs(or($F22="",$F22="Main Primary Artist"),$F22,not(iserror(vlookup($F22,'Reference info'!$J$5:$J$8,1,0))),"Key Artist",not(iserror(vlookup($F22,'Reference info'!$J$38:$J$405,1,0))),"Performer",not(iserror(vlookup($F22,'Reference info'!$J$10:$J$36,1,0))),"Producer &amp; Engineer")</f>
        <v/>
      </c>
    </row>
    <row r="23">
      <c r="A23" s="28"/>
      <c r="B23" s="93"/>
      <c r="C23" s="114"/>
      <c r="D23" s="114"/>
      <c r="E23" s="20"/>
      <c r="F23" s="20"/>
      <c r="G23" s="34" t="str">
        <f t="array" ref="G23">ifs(or($F23="",$F23="Main Primary Artist"),$F23,not(iserror(vlookup($F23,'Reference info'!$J$5:$J$8,1,0))),"Key Artist",not(iserror(vlookup($F23,'Reference info'!$J$38:$J$405,1,0))),"Performer",not(iserror(vlookup($F23,'Reference info'!$J$10:$J$36,1,0))),"Producer &amp; Engineer")</f>
        <v/>
      </c>
    </row>
    <row r="24">
      <c r="A24" s="28"/>
      <c r="B24" s="93"/>
      <c r="C24" s="114"/>
      <c r="D24" s="114"/>
      <c r="E24" s="20"/>
      <c r="F24" s="20"/>
      <c r="G24" s="34" t="str">
        <f t="array" ref="G24">ifs(or($F24="",$F24="Main Primary Artist"),$F24,not(iserror(vlookup($F24,'Reference info'!$J$5:$J$8,1,0))),"Key Artist",not(iserror(vlookup($F24,'Reference info'!$J$38:$J$405,1,0))),"Performer",not(iserror(vlookup($F24,'Reference info'!$J$10:$J$36,1,0))),"Producer &amp; Engineer")</f>
        <v/>
      </c>
    </row>
    <row r="25">
      <c r="A25" s="28"/>
      <c r="B25" s="93"/>
      <c r="C25" s="114"/>
      <c r="D25" s="114"/>
      <c r="E25" s="20"/>
      <c r="F25" s="20"/>
      <c r="G25" s="34" t="str">
        <f t="array" ref="G25">ifs(or($F25="",$F25="Main Primary Artist"),$F25,not(iserror(vlookup($F25,'Reference info'!$J$5:$J$8,1,0))),"Key Artist",not(iserror(vlookup($F25,'Reference info'!$J$38:$J$405,1,0))),"Performer",not(iserror(vlookup($F25,'Reference info'!$J$10:$J$36,1,0))),"Producer &amp; Engineer")</f>
        <v/>
      </c>
    </row>
    <row r="26">
      <c r="A26" s="28"/>
      <c r="B26" s="93"/>
      <c r="C26" s="114"/>
      <c r="D26" s="114"/>
      <c r="E26" s="20"/>
      <c r="F26" s="20"/>
      <c r="G26" s="34" t="str">
        <f t="array" ref="G26">ifs(or($F26="",$F26="Main Primary Artist"),$F26,not(iserror(vlookup($F26,'Reference info'!$J$5:$J$8,1,0))),"Key Artist",not(iserror(vlookup($F26,'Reference info'!$J$38:$J$405,1,0))),"Performer",not(iserror(vlookup($F26,'Reference info'!$J$10:$J$36,1,0))),"Producer &amp; Engineer")</f>
        <v/>
      </c>
    </row>
    <row r="27">
      <c r="A27" s="28"/>
      <c r="B27" s="93"/>
      <c r="C27" s="114"/>
      <c r="D27" s="114"/>
      <c r="E27" s="20"/>
      <c r="F27" s="20"/>
      <c r="G27" s="34" t="str">
        <f t="array" ref="G27">ifs(or($F27="",$F27="Main Primary Artist"),$F27,not(iserror(vlookup($F27,'Reference info'!$J$5:$J$8,1,0))),"Key Artist",not(iserror(vlookup($F27,'Reference info'!$J$38:$J$405,1,0))),"Performer",not(iserror(vlookup($F27,'Reference info'!$J$10:$J$36,1,0))),"Producer &amp; Engineer")</f>
        <v/>
      </c>
    </row>
    <row r="28">
      <c r="A28" s="28"/>
      <c r="B28" s="93"/>
      <c r="C28" s="114"/>
      <c r="D28" s="114"/>
      <c r="E28" s="20"/>
      <c r="F28" s="20"/>
      <c r="G28" s="34" t="str">
        <f t="array" ref="G28">ifs(or($F28="",$F28="Main Primary Artist"),$F28,not(iserror(vlookup($F28,'Reference info'!$J$5:$J$8,1,0))),"Key Artist",not(iserror(vlookup($F28,'Reference info'!$J$38:$J$405,1,0))),"Performer",not(iserror(vlookup($F28,'Reference info'!$J$10:$J$36,1,0))),"Producer &amp; Engineer")</f>
        <v/>
      </c>
    </row>
    <row r="29">
      <c r="A29" s="28"/>
      <c r="B29" s="93"/>
      <c r="C29" s="114"/>
      <c r="D29" s="114"/>
      <c r="E29" s="20"/>
      <c r="F29" s="20"/>
      <c r="G29" s="34" t="str">
        <f t="array" ref="G29">ifs(or($F29="",$F29="Main Primary Artist"),$F29,not(iserror(vlookup($F29,'Reference info'!$J$5:$J$8,1,0))),"Key Artist",not(iserror(vlookup($F29,'Reference info'!$J$38:$J$405,1,0))),"Performer",not(iserror(vlookup($F29,'Reference info'!$J$10:$J$36,1,0))),"Producer &amp; Engineer")</f>
        <v/>
      </c>
    </row>
    <row r="30">
      <c r="A30" s="28"/>
      <c r="B30" s="93"/>
      <c r="C30" s="114"/>
      <c r="D30" s="114"/>
      <c r="E30" s="20"/>
      <c r="F30" s="20"/>
      <c r="G30" s="34" t="str">
        <f t="array" ref="G30">ifs(or($F30="",$F30="Main Primary Artist"),$F30,not(iserror(vlookup($F30,'Reference info'!$J$5:$J$8,1,0))),"Key Artist",not(iserror(vlookup($F30,'Reference info'!$J$38:$J$405,1,0))),"Performer",not(iserror(vlookup($F30,'Reference info'!$J$10:$J$36,1,0))),"Producer &amp; Engineer")</f>
        <v/>
      </c>
    </row>
    <row r="31">
      <c r="A31" s="28"/>
      <c r="B31" s="93"/>
      <c r="C31" s="114"/>
      <c r="D31" s="114"/>
      <c r="E31" s="20"/>
      <c r="F31" s="20"/>
      <c r="G31" s="34" t="str">
        <f t="array" ref="G31">ifs(or($F31="",$F31="Main Primary Artist"),$F31,not(iserror(vlookup($F31,'Reference info'!$J$5:$J$8,1,0))),"Key Artist",not(iserror(vlookup($F31,'Reference info'!$J$38:$J$405,1,0))),"Performer",not(iserror(vlookup($F31,'Reference info'!$J$10:$J$36,1,0))),"Producer &amp; Engineer")</f>
        <v/>
      </c>
    </row>
    <row r="32">
      <c r="A32" s="28"/>
      <c r="B32" s="93"/>
      <c r="C32" s="114"/>
      <c r="D32" s="114"/>
      <c r="E32" s="20"/>
      <c r="F32" s="20"/>
      <c r="G32" s="34" t="str">
        <f t="array" ref="G32">ifs(or($F32="",$F32="Main Primary Artist"),$F32,not(iserror(vlookup($F32,'Reference info'!$J$5:$J$8,1,0))),"Key Artist",not(iserror(vlookup($F32,'Reference info'!$J$38:$J$405,1,0))),"Performer",not(iserror(vlookup($F32,'Reference info'!$J$10:$J$36,1,0))),"Producer &amp; Engineer")</f>
        <v/>
      </c>
    </row>
    <row r="33">
      <c r="A33" s="28"/>
      <c r="B33" s="93"/>
      <c r="C33" s="114"/>
      <c r="D33" s="114"/>
      <c r="E33" s="20"/>
      <c r="F33" s="20"/>
      <c r="G33" s="34" t="str">
        <f t="array" ref="G33">ifs(or($F33="",$F33="Main Primary Artist"),$F33,not(iserror(vlookup($F33,'Reference info'!$J$5:$J$8,1,0))),"Key Artist",not(iserror(vlookup($F33,'Reference info'!$J$38:$J$405,1,0))),"Performer",not(iserror(vlookup($F33,'Reference info'!$J$10:$J$36,1,0))),"Producer &amp; Engineer")</f>
        <v/>
      </c>
    </row>
    <row r="34">
      <c r="A34" s="28"/>
      <c r="B34" s="93"/>
      <c r="C34" s="114"/>
      <c r="D34" s="114"/>
      <c r="E34" s="20"/>
      <c r="F34" s="20"/>
      <c r="G34" s="34" t="str">
        <f t="array" ref="G34">ifs(or($F34="",$F34="Main Primary Artist"),$F34,not(iserror(vlookup($F34,'Reference info'!$J$5:$J$8,1,0))),"Key Artist",not(iserror(vlookup($F34,'Reference info'!$J$38:$J$405,1,0))),"Performer",not(iserror(vlookup($F34,'Reference info'!$J$10:$J$36,1,0))),"Producer &amp; Engineer")</f>
        <v/>
      </c>
    </row>
    <row r="35">
      <c r="A35" s="28"/>
      <c r="B35" s="93"/>
      <c r="C35" s="114"/>
      <c r="D35" s="114"/>
      <c r="E35" s="20"/>
      <c r="F35" s="20"/>
      <c r="G35" s="34" t="str">
        <f t="array" ref="G35">ifs(or($F35="",$F35="Main Primary Artist"),$F35,not(iserror(vlookup($F35,'Reference info'!$J$5:$J$8,1,0))),"Key Artist",not(iserror(vlookup($F35,'Reference info'!$J$38:$J$405,1,0))),"Performer",not(iserror(vlookup($F35,'Reference info'!$J$10:$J$36,1,0))),"Producer &amp; Engineer")</f>
        <v/>
      </c>
    </row>
    <row r="36">
      <c r="A36" s="28"/>
      <c r="B36" s="93"/>
      <c r="C36" s="114"/>
      <c r="D36" s="114"/>
      <c r="E36" s="20"/>
      <c r="F36" s="20"/>
      <c r="G36" s="34" t="str">
        <f t="array" ref="G36">ifs(or($F36="",$F36="Main Primary Artist"),$F36,not(iserror(vlookup($F36,'Reference info'!$J$5:$J$8,1,0))),"Key Artist",not(iserror(vlookup($F36,'Reference info'!$J$38:$J$405,1,0))),"Performer",not(iserror(vlookup($F36,'Reference info'!$J$10:$J$36,1,0))),"Producer &amp; Engineer")</f>
        <v/>
      </c>
    </row>
    <row r="37">
      <c r="A37" s="28"/>
      <c r="B37" s="93"/>
      <c r="C37" s="114"/>
      <c r="D37" s="114"/>
      <c r="E37" s="20"/>
      <c r="F37" s="20"/>
      <c r="G37" s="34" t="str">
        <f t="array" ref="G37">ifs(or($F37="",$F37="Main Primary Artist"),$F37,not(iserror(vlookup($F37,'Reference info'!$J$5:$J$8,1,0))),"Key Artist",not(iserror(vlookup($F37,'Reference info'!$J$38:$J$405,1,0))),"Performer",not(iserror(vlookup($F37,'Reference info'!$J$10:$J$36,1,0))),"Producer &amp; Engineer")</f>
        <v/>
      </c>
    </row>
    <row r="38">
      <c r="A38" s="28"/>
      <c r="B38" s="93"/>
      <c r="C38" s="114"/>
      <c r="D38" s="114"/>
      <c r="E38" s="20"/>
      <c r="F38" s="20"/>
      <c r="G38" s="34" t="str">
        <f t="array" ref="G38">ifs(or($F38="",$F38="Main Primary Artist"),$F38,not(iserror(vlookup($F38,'Reference info'!$J$5:$J$8,1,0))),"Key Artist",not(iserror(vlookup($F38,'Reference info'!$J$38:$J$405,1,0))),"Performer",not(iserror(vlookup($F38,'Reference info'!$J$10:$J$36,1,0))),"Producer &amp; Engineer")</f>
        <v/>
      </c>
    </row>
    <row r="39">
      <c r="A39" s="28"/>
      <c r="B39" s="93"/>
      <c r="C39" s="114"/>
      <c r="D39" s="114"/>
      <c r="E39" s="20"/>
      <c r="F39" s="20"/>
      <c r="G39" s="34" t="str">
        <f t="array" ref="G39">ifs(or($F39="",$F39="Main Primary Artist"),$F39,not(iserror(vlookup($F39,'Reference info'!$J$5:$J$8,1,0))),"Key Artist",not(iserror(vlookup($F39,'Reference info'!$J$38:$J$405,1,0))),"Performer",not(iserror(vlookup($F39,'Reference info'!$J$10:$J$36,1,0))),"Producer &amp; Engineer")</f>
        <v/>
      </c>
    </row>
    <row r="40">
      <c r="A40" s="28"/>
      <c r="B40" s="93"/>
      <c r="C40" s="114"/>
      <c r="D40" s="114"/>
      <c r="E40" s="20"/>
      <c r="F40" s="20"/>
      <c r="G40" s="34" t="str">
        <f t="array" ref="G40">ifs(or($F40="",$F40="Main Primary Artist"),$F40,not(iserror(vlookup($F40,'Reference info'!$J$5:$J$8,1,0))),"Key Artist",not(iserror(vlookup($F40,'Reference info'!$J$38:$J$405,1,0))),"Performer",not(iserror(vlookup($F40,'Reference info'!$J$10:$J$36,1,0))),"Producer &amp; Engineer")</f>
        <v/>
      </c>
    </row>
    <row r="41">
      <c r="A41" s="28"/>
      <c r="B41" s="93"/>
      <c r="C41" s="114"/>
      <c r="D41" s="114"/>
      <c r="E41" s="20"/>
      <c r="F41" s="20"/>
      <c r="G41" s="34" t="str">
        <f t="array" ref="G41">ifs(or($F41="",$F41="Main Primary Artist"),$F41,not(iserror(vlookup($F41,'Reference info'!$J$5:$J$8,1,0))),"Key Artist",not(iserror(vlookup($F41,'Reference info'!$J$38:$J$405,1,0))),"Performer",not(iserror(vlookup($F41,'Reference info'!$J$10:$J$36,1,0))),"Producer &amp; Engineer")</f>
        <v/>
      </c>
    </row>
    <row r="42">
      <c r="A42" s="28"/>
      <c r="B42" s="93"/>
      <c r="C42" s="114"/>
      <c r="D42" s="114"/>
      <c r="E42" s="20"/>
      <c r="F42" s="20"/>
      <c r="G42" s="34" t="str">
        <f t="array" ref="G42">ifs(or($F42="",$F42="Main Primary Artist"),$F42,not(iserror(vlookup($F42,'Reference info'!$J$5:$J$8,1,0))),"Key Artist",not(iserror(vlookup($F42,'Reference info'!$J$38:$J$405,1,0))),"Performer",not(iserror(vlookup($F42,'Reference info'!$J$10:$J$36,1,0))),"Producer &amp; Engineer")</f>
        <v/>
      </c>
    </row>
    <row r="43">
      <c r="A43" s="28"/>
      <c r="B43" s="93"/>
      <c r="C43" s="114"/>
      <c r="D43" s="114"/>
      <c r="E43" s="20"/>
      <c r="F43" s="20"/>
      <c r="G43" s="34" t="str">
        <f t="array" ref="G43">ifs(or($F43="",$F43="Main Primary Artist"),$F43,not(iserror(vlookup($F43,'Reference info'!$J$5:$J$8,1,0))),"Key Artist",not(iserror(vlookup($F43,'Reference info'!$J$38:$J$405,1,0))),"Performer",not(iserror(vlookup($F43,'Reference info'!$J$10:$J$36,1,0))),"Producer &amp; Engineer")</f>
        <v/>
      </c>
    </row>
    <row r="44">
      <c r="A44" s="28"/>
      <c r="B44" s="93"/>
      <c r="C44" s="114"/>
      <c r="D44" s="114"/>
      <c r="E44" s="20"/>
      <c r="F44" s="20"/>
      <c r="G44" s="34" t="str">
        <f t="array" ref="G44">ifs(or($F44="",$F44="Main Primary Artist"),$F44,not(iserror(vlookup($F44,'Reference info'!$J$5:$J$8,1,0))),"Key Artist",not(iserror(vlookup($F44,'Reference info'!$J$38:$J$405,1,0))),"Performer",not(iserror(vlookup($F44,'Reference info'!$J$10:$J$36,1,0))),"Producer &amp; Engineer")</f>
        <v/>
      </c>
    </row>
    <row r="45">
      <c r="A45" s="28"/>
      <c r="B45" s="93"/>
      <c r="C45" s="114"/>
      <c r="D45" s="114"/>
      <c r="E45" s="20"/>
      <c r="F45" s="20"/>
      <c r="G45" s="34" t="str">
        <f t="array" ref="G45">ifs(or($F45="",$F45="Main Primary Artist"),$F45,not(iserror(vlookup($F45,'Reference info'!$J$5:$J$8,1,0))),"Key Artist",not(iserror(vlookup($F45,'Reference info'!$J$38:$J$405,1,0))),"Performer",not(iserror(vlookup($F45,'Reference info'!$J$10:$J$36,1,0))),"Producer &amp; Engineer")</f>
        <v/>
      </c>
    </row>
    <row r="46">
      <c r="A46" s="28"/>
      <c r="B46" s="93"/>
      <c r="C46" s="114"/>
      <c r="D46" s="114"/>
      <c r="E46" s="20"/>
      <c r="F46" s="20"/>
      <c r="G46" s="34" t="str">
        <f t="array" ref="G46">ifs(or($F46="",$F46="Main Primary Artist"),$F46,not(iserror(vlookup($F46,'Reference info'!$J$5:$J$8,1,0))),"Key Artist",not(iserror(vlookup($F46,'Reference info'!$J$38:$J$405,1,0))),"Performer",not(iserror(vlookup($F46,'Reference info'!$J$10:$J$36,1,0))),"Producer &amp; Engineer")</f>
        <v/>
      </c>
    </row>
    <row r="47">
      <c r="A47" s="28"/>
      <c r="B47" s="93"/>
      <c r="C47" s="114"/>
      <c r="D47" s="114"/>
      <c r="E47" s="20"/>
      <c r="F47" s="20"/>
      <c r="G47" s="34" t="str">
        <f t="array" ref="G47">ifs(or($F47="",$F47="Main Primary Artist"),$F47,not(iserror(vlookup($F47,'Reference info'!$J$5:$J$8,1,0))),"Key Artist",not(iserror(vlookup($F47,'Reference info'!$J$38:$J$405,1,0))),"Performer",not(iserror(vlookup($F47,'Reference info'!$J$10:$J$36,1,0))),"Producer &amp; Engineer")</f>
        <v/>
      </c>
    </row>
    <row r="48">
      <c r="A48" s="28"/>
      <c r="B48" s="93"/>
      <c r="C48" s="114"/>
      <c r="D48" s="114"/>
      <c r="E48" s="20"/>
      <c r="F48" s="20"/>
      <c r="G48" s="34" t="str">
        <f t="array" ref="G48">ifs(or($F48="",$F48="Main Primary Artist"),$F48,not(iserror(vlookup($F48,'Reference info'!$J$5:$J$8,1,0))),"Key Artist",not(iserror(vlookup($F48,'Reference info'!$J$38:$J$405,1,0))),"Performer",not(iserror(vlookup($F48,'Reference info'!$J$10:$J$36,1,0))),"Producer &amp; Engineer")</f>
        <v/>
      </c>
    </row>
    <row r="49">
      <c r="A49" s="28"/>
      <c r="B49" s="93"/>
      <c r="C49" s="114"/>
      <c r="D49" s="114"/>
      <c r="E49" s="20"/>
      <c r="F49" s="20"/>
      <c r="G49" s="34" t="str">
        <f t="array" ref="G49">ifs(or($F49="",$F49="Main Primary Artist"),$F49,not(iserror(vlookup($F49,'Reference info'!$J$5:$J$8,1,0))),"Key Artist",not(iserror(vlookup($F49,'Reference info'!$J$38:$J$405,1,0))),"Performer",not(iserror(vlookup($F49,'Reference info'!$J$10:$J$36,1,0))),"Producer &amp; Engineer")</f>
        <v/>
      </c>
    </row>
    <row r="50">
      <c r="A50" s="28"/>
      <c r="B50" s="93"/>
      <c r="C50" s="114"/>
      <c r="D50" s="114"/>
      <c r="E50" s="20"/>
      <c r="F50" s="20"/>
      <c r="G50" s="34" t="str">
        <f t="array" ref="G50">ifs(or($F50="",$F50="Main Primary Artist"),$F50,not(iserror(vlookup($F50,'Reference info'!$J$5:$J$8,1,0))),"Key Artist",not(iserror(vlookup($F50,'Reference info'!$J$38:$J$405,1,0))),"Performer",not(iserror(vlookup($F50,'Reference info'!$J$10:$J$36,1,0))),"Producer &amp; Engineer")</f>
        <v/>
      </c>
    </row>
    <row r="51">
      <c r="A51" s="28"/>
      <c r="B51" s="93"/>
      <c r="C51" s="114"/>
      <c r="D51" s="114"/>
      <c r="E51" s="20"/>
      <c r="F51" s="20"/>
      <c r="G51" s="34" t="str">
        <f t="array" ref="G51">ifs(or($F51="",$F51="Main Primary Artist"),$F51,not(iserror(vlookup($F51,'Reference info'!$J$5:$J$8,1,0))),"Key Artist",not(iserror(vlookup($F51,'Reference info'!$J$38:$J$405,1,0))),"Performer",not(iserror(vlookup($F51,'Reference info'!$J$10:$J$36,1,0))),"Producer &amp; Engineer")</f>
        <v/>
      </c>
    </row>
    <row r="52">
      <c r="A52" s="28"/>
      <c r="B52" s="93"/>
      <c r="C52" s="114"/>
      <c r="D52" s="114"/>
      <c r="E52" s="20"/>
      <c r="F52" s="20"/>
      <c r="G52" s="34" t="str">
        <f t="array" ref="G52">ifs(or($F52="",$F52="Main Primary Artist"),$F52,not(iserror(vlookup($F52,'Reference info'!$J$5:$J$8,1,0))),"Key Artist",not(iserror(vlookup($F52,'Reference info'!$J$38:$J$405,1,0))),"Performer",not(iserror(vlookup($F52,'Reference info'!$J$10:$J$36,1,0))),"Producer &amp; Engineer")</f>
        <v/>
      </c>
    </row>
    <row r="53">
      <c r="A53" s="28"/>
      <c r="B53" s="93"/>
      <c r="C53" s="114"/>
      <c r="D53" s="114"/>
      <c r="E53" s="20"/>
      <c r="F53" s="20"/>
      <c r="G53" s="34" t="str">
        <f t="array" ref="G53">ifs(or($F53="",$F53="Main Primary Artist"),$F53,not(iserror(vlookup($F53,'Reference info'!$J$5:$J$8,1,0))),"Key Artist",not(iserror(vlookup($F53,'Reference info'!$J$38:$J$405,1,0))),"Performer",not(iserror(vlookup($F53,'Reference info'!$J$10:$J$36,1,0))),"Producer &amp; Engineer")</f>
        <v/>
      </c>
    </row>
    <row r="54">
      <c r="A54" s="28"/>
      <c r="B54" s="93"/>
      <c r="C54" s="114"/>
      <c r="D54" s="114"/>
      <c r="E54" s="20"/>
      <c r="F54" s="20"/>
      <c r="G54" s="34" t="str">
        <f t="array" ref="G54">ifs(or($F54="",$F54="Main Primary Artist"),$F54,not(iserror(vlookup($F54,'Reference info'!$J$5:$J$8,1,0))),"Key Artist",not(iserror(vlookup($F54,'Reference info'!$J$38:$J$405,1,0))),"Performer",not(iserror(vlookup($F54,'Reference info'!$J$10:$J$36,1,0))),"Producer &amp; Engineer")</f>
        <v/>
      </c>
    </row>
    <row r="55">
      <c r="A55" s="28"/>
      <c r="B55" s="93"/>
      <c r="C55" s="114"/>
      <c r="D55" s="114"/>
      <c r="E55" s="20"/>
      <c r="F55" s="20"/>
      <c r="G55" s="34" t="str">
        <f t="array" ref="G55">ifs(or($F55="",$F55="Main Primary Artist"),$F55,not(iserror(vlookup($F55,'Reference info'!$J$5:$J$8,1,0))),"Key Artist",not(iserror(vlookup($F55,'Reference info'!$J$38:$J$405,1,0))),"Performer",not(iserror(vlookup($F55,'Reference info'!$J$10:$J$36,1,0))),"Producer &amp; Engineer")</f>
        <v/>
      </c>
    </row>
    <row r="56">
      <c r="A56" s="28"/>
      <c r="B56" s="93"/>
      <c r="C56" s="114"/>
      <c r="D56" s="114"/>
      <c r="E56" s="20"/>
      <c r="F56" s="20"/>
      <c r="G56" s="34" t="str">
        <f t="array" ref="G56">ifs(or($F56="",$F56="Main Primary Artist"),$F56,not(iserror(vlookup($F56,'Reference info'!$J$5:$J$8,1,0))),"Key Artist",not(iserror(vlookup($F56,'Reference info'!$J$38:$J$405,1,0))),"Performer",not(iserror(vlookup($F56,'Reference info'!$J$10:$J$36,1,0))),"Producer &amp; Engineer")</f>
        <v/>
      </c>
    </row>
    <row r="57">
      <c r="A57" s="28"/>
      <c r="B57" s="93"/>
      <c r="C57" s="114"/>
      <c r="D57" s="114"/>
      <c r="E57" s="20"/>
      <c r="F57" s="20"/>
      <c r="G57" s="34" t="str">
        <f t="array" ref="G57">ifs(or($F57="",$F57="Main Primary Artist"),$F57,not(iserror(vlookup($F57,'Reference info'!$J$5:$J$8,1,0))),"Key Artist",not(iserror(vlookup($F57,'Reference info'!$J$38:$J$405,1,0))),"Performer",not(iserror(vlookup($F57,'Reference info'!$J$10:$J$36,1,0))),"Producer &amp; Engineer")</f>
        <v/>
      </c>
    </row>
    <row r="58">
      <c r="A58" s="28"/>
      <c r="B58" s="93"/>
      <c r="C58" s="114"/>
      <c r="D58" s="114"/>
      <c r="E58" s="20"/>
      <c r="F58" s="20"/>
      <c r="G58" s="34" t="str">
        <f t="array" ref="G58">ifs(or($F58="",$F58="Main Primary Artist"),$F58,not(iserror(vlookup($F58,'Reference info'!$J$5:$J$8,1,0))),"Key Artist",not(iserror(vlookup($F58,'Reference info'!$J$38:$J$405,1,0))),"Performer",not(iserror(vlookup($F58,'Reference info'!$J$10:$J$36,1,0))),"Producer &amp; Engineer")</f>
        <v/>
      </c>
    </row>
    <row r="59">
      <c r="A59" s="28"/>
      <c r="B59" s="93"/>
      <c r="C59" s="114"/>
      <c r="D59" s="114"/>
      <c r="E59" s="20"/>
      <c r="F59" s="20"/>
      <c r="G59" s="34" t="str">
        <f t="array" ref="G59">ifs(or($F59="",$F59="Main Primary Artist"),$F59,not(iserror(vlookup($F59,'Reference info'!$J$5:$J$8,1,0))),"Key Artist",not(iserror(vlookup($F59,'Reference info'!$J$38:$J$405,1,0))),"Performer",not(iserror(vlookup($F59,'Reference info'!$J$10:$J$36,1,0))),"Producer &amp; Engineer")</f>
        <v/>
      </c>
    </row>
    <row r="60">
      <c r="A60" s="28"/>
      <c r="B60" s="93"/>
      <c r="C60" s="114"/>
      <c r="D60" s="114"/>
      <c r="E60" s="20"/>
      <c r="F60" s="20"/>
      <c r="G60" s="34" t="str">
        <f t="array" ref="G60">ifs(or($F60="",$F60="Main Primary Artist"),$F60,not(iserror(vlookup($F60,'Reference info'!$J$5:$J$8,1,0))),"Key Artist",not(iserror(vlookup($F60,'Reference info'!$J$38:$J$405,1,0))),"Performer",not(iserror(vlookup($F60,'Reference info'!$J$10:$J$36,1,0))),"Producer &amp; Engineer")</f>
        <v/>
      </c>
    </row>
    <row r="61">
      <c r="A61" s="28"/>
      <c r="B61" s="93"/>
      <c r="C61" s="114"/>
      <c r="D61" s="114"/>
      <c r="E61" s="20"/>
      <c r="F61" s="20"/>
      <c r="G61" s="34" t="str">
        <f t="array" ref="G61">ifs(or($F61="",$F61="Main Primary Artist"),$F61,not(iserror(vlookup($F61,'Reference info'!$J$5:$J$8,1,0))),"Key Artist",not(iserror(vlookup($F61,'Reference info'!$J$38:$J$405,1,0))),"Performer",not(iserror(vlookup($F61,'Reference info'!$J$10:$J$36,1,0))),"Producer &amp; Engineer")</f>
        <v/>
      </c>
    </row>
    <row r="62">
      <c r="A62" s="28"/>
      <c r="B62" s="93"/>
      <c r="C62" s="114"/>
      <c r="D62" s="114"/>
      <c r="E62" s="20"/>
      <c r="F62" s="20"/>
      <c r="G62" s="34" t="str">
        <f t="array" ref="G62">ifs(or($F62="",$F62="Main Primary Artist"),$F62,not(iserror(vlookup($F62,'Reference info'!$J$5:$J$8,1,0))),"Key Artist",not(iserror(vlookup($F62,'Reference info'!$J$38:$J$405,1,0))),"Performer",not(iserror(vlookup($F62,'Reference info'!$J$10:$J$36,1,0))),"Producer &amp; Engineer")</f>
        <v/>
      </c>
    </row>
    <row r="63">
      <c r="A63" s="28"/>
      <c r="B63" s="93"/>
      <c r="C63" s="114"/>
      <c r="D63" s="114"/>
      <c r="E63" s="20"/>
      <c r="F63" s="20"/>
      <c r="G63" s="34" t="str">
        <f t="array" ref="G63">ifs(or($F63="",$F63="Main Primary Artist"),$F63,not(iserror(vlookup($F63,'Reference info'!$J$5:$J$8,1,0))),"Key Artist",not(iserror(vlookup($F63,'Reference info'!$J$38:$J$405,1,0))),"Performer",not(iserror(vlookup($F63,'Reference info'!$J$10:$J$36,1,0))),"Producer &amp; Engineer")</f>
        <v/>
      </c>
    </row>
    <row r="64">
      <c r="A64" s="28"/>
      <c r="B64" s="93"/>
      <c r="C64" s="114"/>
      <c r="D64" s="114"/>
      <c r="E64" s="20"/>
      <c r="F64" s="20"/>
      <c r="G64" s="34" t="str">
        <f t="array" ref="G64">ifs(or($F64="",$F64="Main Primary Artist"),$F64,not(iserror(vlookup($F64,'Reference info'!$J$5:$J$8,1,0))),"Key Artist",not(iserror(vlookup($F64,'Reference info'!$J$38:$J$405,1,0))),"Performer",not(iserror(vlookup($F64,'Reference info'!$J$10:$J$36,1,0))),"Producer &amp; Engineer")</f>
        <v/>
      </c>
    </row>
    <row r="65">
      <c r="A65" s="28"/>
      <c r="B65" s="93"/>
      <c r="C65" s="114"/>
      <c r="D65" s="114"/>
      <c r="E65" s="20"/>
      <c r="F65" s="20"/>
      <c r="G65" s="34" t="str">
        <f t="array" ref="G65">ifs(or($F65="",$F65="Main Primary Artist"),$F65,not(iserror(vlookup($F65,'Reference info'!$J$5:$J$8,1,0))),"Key Artist",not(iserror(vlookup($F65,'Reference info'!$J$38:$J$405,1,0))),"Performer",not(iserror(vlookup($F65,'Reference info'!$J$10:$J$36,1,0))),"Producer &amp; Engineer")</f>
        <v/>
      </c>
    </row>
    <row r="66">
      <c r="A66" s="28"/>
      <c r="B66" s="93"/>
      <c r="C66" s="114"/>
      <c r="D66" s="114"/>
      <c r="E66" s="20"/>
      <c r="F66" s="20"/>
      <c r="G66" s="34" t="str">
        <f t="array" ref="G66">ifs(or($F66="",$F66="Main Primary Artist"),$F66,not(iserror(vlookup($F66,'Reference info'!$J$5:$J$8,1,0))),"Key Artist",not(iserror(vlookup($F66,'Reference info'!$J$38:$J$405,1,0))),"Performer",not(iserror(vlookup($F66,'Reference info'!$J$10:$J$36,1,0))),"Producer &amp; Engineer")</f>
        <v/>
      </c>
    </row>
    <row r="67">
      <c r="A67" s="28"/>
      <c r="B67" s="93"/>
      <c r="C67" s="114"/>
      <c r="D67" s="114"/>
      <c r="E67" s="20"/>
      <c r="F67" s="20"/>
      <c r="G67" s="34" t="str">
        <f t="array" ref="G67">ifs(or($F67="",$F67="Main Primary Artist"),$F67,not(iserror(vlookup($F67,'Reference info'!$J$5:$J$8,1,0))),"Key Artist",not(iserror(vlookup($F67,'Reference info'!$J$38:$J$405,1,0))),"Performer",not(iserror(vlookup($F67,'Reference info'!$J$10:$J$36,1,0))),"Producer &amp; Engineer")</f>
        <v/>
      </c>
    </row>
    <row r="68">
      <c r="A68" s="28"/>
      <c r="B68" s="93"/>
      <c r="C68" s="114"/>
      <c r="D68" s="114"/>
      <c r="E68" s="20"/>
      <c r="F68" s="20"/>
      <c r="G68" s="34" t="str">
        <f t="array" ref="G68">ifs(or($F68="",$F68="Main Primary Artist"),$F68,not(iserror(vlookup($F68,'Reference info'!$J$5:$J$8,1,0))),"Key Artist",not(iserror(vlookup($F68,'Reference info'!$J$38:$J$405,1,0))),"Performer",not(iserror(vlookup($F68,'Reference info'!$J$10:$J$36,1,0))),"Producer &amp; Engineer")</f>
        <v/>
      </c>
    </row>
    <row r="69">
      <c r="A69" s="28"/>
      <c r="B69" s="93"/>
      <c r="C69" s="114"/>
      <c r="D69" s="114"/>
      <c r="E69" s="20"/>
      <c r="F69" s="20"/>
      <c r="G69" s="34" t="str">
        <f t="array" ref="G69">ifs(or($F69="",$F69="Main Primary Artist"),$F69,not(iserror(vlookup($F69,'Reference info'!$J$5:$J$8,1,0))),"Key Artist",not(iserror(vlookup($F69,'Reference info'!$J$38:$J$405,1,0))),"Performer",not(iserror(vlookup($F69,'Reference info'!$J$10:$J$36,1,0))),"Producer &amp; Engineer")</f>
        <v/>
      </c>
    </row>
    <row r="70">
      <c r="A70" s="28"/>
      <c r="B70" s="93"/>
      <c r="C70" s="114"/>
      <c r="D70" s="114"/>
      <c r="E70" s="20"/>
      <c r="F70" s="20"/>
      <c r="G70" s="34" t="str">
        <f t="array" ref="G70">ifs(or($F70="",$F70="Main Primary Artist"),$F70,not(iserror(vlookup($F70,'Reference info'!$J$5:$J$8,1,0))),"Key Artist",not(iserror(vlookup($F70,'Reference info'!$J$38:$J$405,1,0))),"Performer",not(iserror(vlookup($F70,'Reference info'!$J$10:$J$36,1,0))),"Producer &amp; Engineer")</f>
        <v/>
      </c>
    </row>
    <row r="71">
      <c r="A71" s="28"/>
      <c r="B71" s="93"/>
      <c r="C71" s="114"/>
      <c r="D71" s="114"/>
      <c r="E71" s="20"/>
      <c r="F71" s="20"/>
      <c r="G71" s="34" t="str">
        <f t="array" ref="G71">ifs(or($F71="",$F71="Main Primary Artist"),$F71,not(iserror(vlookup($F71,'Reference info'!$J$5:$J$8,1,0))),"Key Artist",not(iserror(vlookup($F71,'Reference info'!$J$38:$J$405,1,0))),"Performer",not(iserror(vlookup($F71,'Reference info'!$J$10:$J$36,1,0))),"Producer &amp; Engineer")</f>
        <v/>
      </c>
    </row>
    <row r="72">
      <c r="A72" s="28"/>
      <c r="B72" s="93"/>
      <c r="C72" s="114"/>
      <c r="D72" s="114"/>
      <c r="E72" s="20"/>
      <c r="F72" s="20"/>
      <c r="G72" s="34" t="str">
        <f t="array" ref="G72">ifs(or($F72="",$F72="Main Primary Artist"),$F72,not(iserror(vlookup($F72,'Reference info'!$J$5:$J$8,1,0))),"Key Artist",not(iserror(vlookup($F72,'Reference info'!$J$38:$J$405,1,0))),"Performer",not(iserror(vlookup($F72,'Reference info'!$J$10:$J$36,1,0))),"Producer &amp; Engineer")</f>
        <v/>
      </c>
    </row>
    <row r="73">
      <c r="A73" s="28"/>
      <c r="B73" s="93"/>
      <c r="C73" s="114"/>
      <c r="D73" s="114"/>
      <c r="E73" s="20"/>
      <c r="F73" s="20"/>
      <c r="G73" s="34" t="str">
        <f t="array" ref="G73">ifs(or($F73="",$F73="Main Primary Artist"),$F73,not(iserror(vlookup($F73,'Reference info'!$J$5:$J$8,1,0))),"Key Artist",not(iserror(vlookup($F73,'Reference info'!$J$38:$J$405,1,0))),"Performer",not(iserror(vlookup($F73,'Reference info'!$J$10:$J$36,1,0))),"Producer &amp; Engineer")</f>
        <v/>
      </c>
    </row>
    <row r="74">
      <c r="A74" s="28"/>
      <c r="B74" s="93"/>
      <c r="C74" s="114"/>
      <c r="D74" s="114"/>
      <c r="E74" s="20"/>
      <c r="F74" s="20"/>
      <c r="G74" s="34" t="str">
        <f t="array" ref="G74">ifs(or($F74="",$F74="Main Primary Artist"),$F74,not(iserror(vlookup($F74,'Reference info'!$J$5:$J$8,1,0))),"Key Artist",not(iserror(vlookup($F74,'Reference info'!$J$38:$J$405,1,0))),"Performer",not(iserror(vlookup($F74,'Reference info'!$J$10:$J$36,1,0))),"Producer &amp; Engineer")</f>
        <v/>
      </c>
    </row>
    <row r="75">
      <c r="A75" s="28"/>
      <c r="B75" s="93"/>
      <c r="C75" s="114"/>
      <c r="D75" s="114"/>
      <c r="E75" s="20"/>
      <c r="F75" s="20"/>
      <c r="G75" s="34" t="str">
        <f t="array" ref="G75">ifs(or($F75="",$F75="Main Primary Artist"),$F75,not(iserror(vlookup($F75,'Reference info'!$J$5:$J$8,1,0))),"Key Artist",not(iserror(vlookup($F75,'Reference info'!$J$38:$J$405,1,0))),"Performer",not(iserror(vlookup($F75,'Reference info'!$J$10:$J$36,1,0))),"Producer &amp; Engineer")</f>
        <v/>
      </c>
    </row>
    <row r="76">
      <c r="A76" s="28"/>
      <c r="B76" s="93"/>
      <c r="C76" s="114"/>
      <c r="D76" s="114"/>
      <c r="E76" s="20"/>
      <c r="F76" s="20"/>
      <c r="G76" s="34" t="str">
        <f t="array" ref="G76">ifs(or($F76="",$F76="Main Primary Artist"),$F76,not(iserror(vlookup($F76,'Reference info'!$J$5:$J$8,1,0))),"Key Artist",not(iserror(vlookup($F76,'Reference info'!$J$38:$J$405,1,0))),"Performer",not(iserror(vlookup($F76,'Reference info'!$J$10:$J$36,1,0))),"Producer &amp; Engineer")</f>
        <v/>
      </c>
    </row>
    <row r="77">
      <c r="A77" s="28"/>
      <c r="B77" s="93"/>
      <c r="C77" s="114"/>
      <c r="D77" s="114"/>
      <c r="E77" s="20"/>
      <c r="F77" s="20"/>
      <c r="G77" s="34" t="str">
        <f t="array" ref="G77">ifs(or($F77="",$F77="Main Primary Artist"),$F77,not(iserror(vlookup($F77,'Reference info'!$J$5:$J$8,1,0))),"Key Artist",not(iserror(vlookup($F77,'Reference info'!$J$38:$J$405,1,0))),"Performer",not(iserror(vlookup($F77,'Reference info'!$J$10:$J$36,1,0))),"Producer &amp; Engineer")</f>
        <v/>
      </c>
    </row>
    <row r="78">
      <c r="A78" s="28"/>
      <c r="B78" s="93"/>
      <c r="C78" s="114"/>
      <c r="D78" s="114"/>
      <c r="E78" s="20"/>
      <c r="F78" s="20"/>
      <c r="G78" s="34" t="str">
        <f t="array" ref="G78">ifs(or($F78="",$F78="Main Primary Artist"),$F78,not(iserror(vlookup($F78,'Reference info'!$J$5:$J$8,1,0))),"Key Artist",not(iserror(vlookup($F78,'Reference info'!$J$38:$J$405,1,0))),"Performer",not(iserror(vlookup($F78,'Reference info'!$J$10:$J$36,1,0))),"Producer &amp; Engineer")</f>
        <v/>
      </c>
    </row>
    <row r="79">
      <c r="A79" s="28"/>
      <c r="B79" s="93"/>
      <c r="C79" s="114"/>
      <c r="D79" s="114"/>
      <c r="E79" s="20"/>
      <c r="F79" s="20"/>
      <c r="G79" s="34" t="str">
        <f t="array" ref="G79">ifs(or($F79="",$F79="Main Primary Artist"),$F79,not(iserror(vlookup($F79,'Reference info'!$J$5:$J$8,1,0))),"Key Artist",not(iserror(vlookup($F79,'Reference info'!$J$38:$J$405,1,0))),"Performer",not(iserror(vlookup($F79,'Reference info'!$J$10:$J$36,1,0))),"Producer &amp; Engineer")</f>
        <v/>
      </c>
    </row>
    <row r="80">
      <c r="A80" s="28"/>
      <c r="B80" s="93"/>
      <c r="C80" s="114"/>
      <c r="D80" s="114"/>
      <c r="E80" s="20"/>
      <c r="F80" s="20"/>
      <c r="G80" s="34" t="str">
        <f t="array" ref="G80">ifs(or($F80="",$F80="Main Primary Artist"),$F80,not(iserror(vlookup($F80,'Reference info'!$J$5:$J$8,1,0))),"Key Artist",not(iserror(vlookup($F80,'Reference info'!$J$38:$J$405,1,0))),"Performer",not(iserror(vlookup($F80,'Reference info'!$J$10:$J$36,1,0))),"Producer &amp; Engineer")</f>
        <v/>
      </c>
    </row>
    <row r="81">
      <c r="A81" s="28"/>
      <c r="B81" s="93"/>
      <c r="C81" s="114"/>
      <c r="D81" s="114"/>
      <c r="E81" s="20"/>
      <c r="F81" s="20"/>
      <c r="G81" s="34" t="str">
        <f t="array" ref="G81">ifs(or($F81="",$F81="Main Primary Artist"),$F81,not(iserror(vlookup($F81,'Reference info'!$J$5:$J$8,1,0))),"Key Artist",not(iserror(vlookup($F81,'Reference info'!$J$38:$J$405,1,0))),"Performer",not(iserror(vlookup($F81,'Reference info'!$J$10:$J$36,1,0))),"Producer &amp; Engineer")</f>
        <v/>
      </c>
    </row>
    <row r="82">
      <c r="A82" s="28"/>
      <c r="B82" s="93"/>
      <c r="C82" s="114"/>
      <c r="D82" s="114"/>
      <c r="E82" s="20"/>
      <c r="F82" s="20"/>
      <c r="G82" s="34" t="str">
        <f t="array" ref="G82">ifs(or($F82="",$F82="Main Primary Artist"),$F82,not(iserror(vlookup($F82,'Reference info'!$J$5:$J$8,1,0))),"Key Artist",not(iserror(vlookup($F82,'Reference info'!$J$38:$J$405,1,0))),"Performer",not(iserror(vlookup($F82,'Reference info'!$J$10:$J$36,1,0))),"Producer &amp; Engineer")</f>
        <v/>
      </c>
    </row>
    <row r="83">
      <c r="A83" s="28"/>
      <c r="B83" s="93"/>
      <c r="C83" s="114"/>
      <c r="D83" s="114"/>
      <c r="E83" s="20"/>
      <c r="F83" s="20"/>
      <c r="G83" s="34" t="str">
        <f t="array" ref="G83">ifs(or($F83="",$F83="Main Primary Artist"),$F83,not(iserror(vlookup($F83,'Reference info'!$J$5:$J$8,1,0))),"Key Artist",not(iserror(vlookup($F83,'Reference info'!$J$38:$J$405,1,0))),"Performer",not(iserror(vlookup($F83,'Reference info'!$J$10:$J$36,1,0))),"Producer &amp; Engineer")</f>
        <v/>
      </c>
    </row>
    <row r="84">
      <c r="A84" s="28"/>
      <c r="B84" s="93"/>
      <c r="C84" s="114"/>
      <c r="D84" s="114"/>
      <c r="E84" s="20"/>
      <c r="F84" s="20"/>
      <c r="G84" s="34" t="str">
        <f t="array" ref="G84">ifs(or($F84="",$F84="Main Primary Artist"),$F84,not(iserror(vlookup($F84,'Reference info'!$J$5:$J$8,1,0))),"Key Artist",not(iserror(vlookup($F84,'Reference info'!$J$38:$J$405,1,0))),"Performer",not(iserror(vlookup($F84,'Reference info'!$J$10:$J$36,1,0))),"Producer &amp; Engineer")</f>
        <v/>
      </c>
    </row>
    <row r="85">
      <c r="A85" s="28"/>
      <c r="B85" s="93"/>
      <c r="C85" s="114"/>
      <c r="D85" s="114"/>
      <c r="E85" s="20"/>
      <c r="F85" s="20"/>
      <c r="G85" s="34" t="str">
        <f t="array" ref="G85">ifs(or($F85="",$F85="Main Primary Artist"),$F85,not(iserror(vlookup($F85,'Reference info'!$J$5:$J$8,1,0))),"Key Artist",not(iserror(vlookup($F85,'Reference info'!$J$38:$J$405,1,0))),"Performer",not(iserror(vlookup($F85,'Reference info'!$J$10:$J$36,1,0))),"Producer &amp; Engineer")</f>
        <v/>
      </c>
    </row>
    <row r="86">
      <c r="A86" s="28"/>
      <c r="B86" s="93"/>
      <c r="C86" s="114"/>
      <c r="D86" s="114"/>
      <c r="E86" s="20"/>
      <c r="F86" s="20"/>
      <c r="G86" s="34" t="str">
        <f t="array" ref="G86">ifs(or($F86="",$F86="Main Primary Artist"),$F86,not(iserror(vlookup($F86,'Reference info'!$J$5:$J$8,1,0))),"Key Artist",not(iserror(vlookup($F86,'Reference info'!$J$38:$J$405,1,0))),"Performer",not(iserror(vlookup($F86,'Reference info'!$J$10:$J$36,1,0))),"Producer &amp; Engineer")</f>
        <v/>
      </c>
    </row>
    <row r="87">
      <c r="A87" s="28"/>
      <c r="B87" s="93"/>
      <c r="C87" s="114"/>
      <c r="D87" s="114"/>
      <c r="E87" s="20"/>
      <c r="F87" s="20"/>
      <c r="G87" s="34" t="str">
        <f t="array" ref="G87">ifs(or($F87="",$F87="Main Primary Artist"),$F87,not(iserror(vlookup($F87,'Reference info'!$J$5:$J$8,1,0))),"Key Artist",not(iserror(vlookup($F87,'Reference info'!$J$38:$J$405,1,0))),"Performer",not(iserror(vlookup($F87,'Reference info'!$J$10:$J$36,1,0))),"Producer &amp; Engineer")</f>
        <v/>
      </c>
    </row>
    <row r="88">
      <c r="A88" s="28"/>
      <c r="B88" s="93"/>
      <c r="C88" s="114"/>
      <c r="D88" s="114"/>
      <c r="E88" s="20"/>
      <c r="F88" s="20"/>
      <c r="G88" s="34" t="str">
        <f t="array" ref="G88">ifs(or($F88="",$F88="Main Primary Artist"),$F88,not(iserror(vlookup($F88,'Reference info'!$J$5:$J$8,1,0))),"Key Artist",not(iserror(vlookup($F88,'Reference info'!$J$38:$J$405,1,0))),"Performer",not(iserror(vlookup($F88,'Reference info'!$J$10:$J$36,1,0))),"Producer &amp; Engineer")</f>
        <v/>
      </c>
    </row>
    <row r="89">
      <c r="A89" s="28"/>
      <c r="B89" s="93"/>
      <c r="C89" s="114"/>
      <c r="D89" s="114"/>
      <c r="E89" s="20"/>
      <c r="F89" s="20"/>
      <c r="G89" s="34" t="str">
        <f t="array" ref="G89">ifs(or($F89="",$F89="Main Primary Artist"),$F89,not(iserror(vlookup($F89,'Reference info'!$J$5:$J$8,1,0))),"Key Artist",not(iserror(vlookup($F89,'Reference info'!$J$38:$J$405,1,0))),"Performer",not(iserror(vlookup($F89,'Reference info'!$J$10:$J$36,1,0))),"Producer &amp; Engineer")</f>
        <v/>
      </c>
    </row>
    <row r="90">
      <c r="A90" s="28"/>
      <c r="B90" s="93"/>
      <c r="C90" s="114"/>
      <c r="D90" s="114"/>
      <c r="E90" s="20"/>
      <c r="F90" s="20"/>
    </row>
    <row r="91">
      <c r="A91" s="28"/>
      <c r="B91" s="93"/>
      <c r="C91" s="114"/>
      <c r="D91" s="114"/>
      <c r="E91" s="20"/>
      <c r="F91" s="20"/>
    </row>
    <row r="92">
      <c r="A92" s="28"/>
      <c r="B92" s="93"/>
      <c r="C92" s="114"/>
      <c r="D92" s="114"/>
      <c r="E92" s="20"/>
      <c r="F92" s="20"/>
    </row>
    <row r="93">
      <c r="A93" s="28"/>
      <c r="B93" s="93"/>
      <c r="C93" s="114"/>
      <c r="D93" s="114"/>
      <c r="E93" s="20"/>
      <c r="F93" s="20"/>
    </row>
    <row r="94">
      <c r="A94" s="28"/>
      <c r="B94" s="93"/>
      <c r="C94" s="114"/>
      <c r="D94" s="114"/>
      <c r="E94" s="20"/>
      <c r="F94" s="20"/>
    </row>
    <row r="95">
      <c r="A95" s="28"/>
      <c r="B95" s="93"/>
      <c r="C95" s="114"/>
      <c r="D95" s="114"/>
      <c r="E95" s="20"/>
      <c r="F95" s="20"/>
    </row>
    <row r="96">
      <c r="A96" s="28"/>
      <c r="B96" s="93"/>
      <c r="C96" s="114"/>
      <c r="D96" s="114"/>
      <c r="E96" s="20"/>
      <c r="F96" s="20"/>
    </row>
    <row r="97">
      <c r="A97" s="28"/>
      <c r="B97" s="93"/>
      <c r="C97" s="114"/>
      <c r="D97" s="114"/>
      <c r="E97" s="20"/>
      <c r="F97" s="20"/>
    </row>
    <row r="98">
      <c r="A98" s="28"/>
      <c r="B98" s="93"/>
      <c r="C98" s="114"/>
      <c r="D98" s="114"/>
      <c r="E98" s="20"/>
      <c r="F98" s="20"/>
    </row>
    <row r="99">
      <c r="A99" s="28"/>
      <c r="B99" s="93"/>
      <c r="C99" s="114"/>
      <c r="D99" s="114"/>
      <c r="E99" s="20"/>
      <c r="F99" s="20"/>
    </row>
    <row r="100">
      <c r="A100" s="28"/>
      <c r="B100" s="93"/>
      <c r="C100" s="114"/>
      <c r="D100" s="114"/>
      <c r="E100" s="20"/>
      <c r="F100" s="20"/>
    </row>
    <row r="101">
      <c r="A101" s="28"/>
      <c r="B101" s="93"/>
      <c r="C101" s="114"/>
      <c r="D101" s="114"/>
      <c r="E101" s="20"/>
      <c r="F101" s="20"/>
    </row>
    <row r="102">
      <c r="A102" s="28"/>
      <c r="B102" s="93"/>
      <c r="C102" s="114"/>
      <c r="D102" s="114"/>
      <c r="E102" s="20"/>
      <c r="F102" s="20"/>
    </row>
    <row r="103">
      <c r="A103" s="28"/>
      <c r="B103" s="93"/>
      <c r="C103" s="114"/>
      <c r="D103" s="114"/>
      <c r="E103" s="20"/>
      <c r="F103" s="20"/>
    </row>
    <row r="104">
      <c r="A104" s="28"/>
      <c r="B104" s="93"/>
      <c r="C104" s="114"/>
      <c r="D104" s="114"/>
      <c r="E104" s="20"/>
      <c r="F104" s="20"/>
    </row>
    <row r="105">
      <c r="A105" s="28"/>
      <c r="B105" s="93"/>
      <c r="C105" s="114"/>
      <c r="D105" s="114"/>
      <c r="E105" s="20"/>
      <c r="F105" s="20"/>
    </row>
    <row r="106">
      <c r="A106" s="28"/>
      <c r="B106" s="93"/>
      <c r="C106" s="114"/>
      <c r="D106" s="114"/>
      <c r="E106" s="20"/>
      <c r="F106" s="20"/>
    </row>
    <row r="107">
      <c r="A107" s="28"/>
      <c r="B107" s="93"/>
      <c r="C107" s="114"/>
      <c r="D107" s="114"/>
      <c r="E107" s="20"/>
      <c r="F107" s="20"/>
    </row>
    <row r="108">
      <c r="A108" s="28"/>
      <c r="B108" s="93"/>
      <c r="C108" s="114"/>
      <c r="D108" s="114"/>
      <c r="E108" s="20"/>
      <c r="F108" s="20"/>
    </row>
    <row r="109">
      <c r="A109" s="28"/>
      <c r="B109" s="93"/>
      <c r="C109" s="114"/>
      <c r="D109" s="114"/>
      <c r="E109" s="20"/>
      <c r="F109" s="20"/>
    </row>
    <row r="110">
      <c r="A110" s="28"/>
      <c r="B110" s="93"/>
      <c r="C110" s="114"/>
      <c r="D110" s="114"/>
      <c r="E110" s="20"/>
      <c r="F110" s="20"/>
    </row>
    <row r="111">
      <c r="A111" s="28"/>
      <c r="B111" s="93"/>
      <c r="C111" s="114"/>
      <c r="D111" s="114"/>
      <c r="E111" s="20"/>
      <c r="F111" s="20"/>
    </row>
    <row r="112">
      <c r="A112" s="28"/>
      <c r="B112" s="93"/>
      <c r="C112" s="114"/>
      <c r="D112" s="114"/>
      <c r="E112" s="20"/>
      <c r="F112" s="20"/>
    </row>
    <row r="113">
      <c r="A113" s="28"/>
      <c r="B113" s="93"/>
      <c r="C113" s="114"/>
      <c r="D113" s="114"/>
      <c r="E113" s="20"/>
      <c r="F113" s="20"/>
    </row>
    <row r="114">
      <c r="A114" s="28"/>
      <c r="B114" s="93"/>
      <c r="C114" s="114"/>
      <c r="D114" s="114"/>
      <c r="E114" s="20"/>
      <c r="F114" s="20"/>
    </row>
    <row r="115">
      <c r="A115" s="28"/>
      <c r="B115" s="93"/>
      <c r="C115" s="114"/>
      <c r="D115" s="114"/>
      <c r="E115" s="20"/>
      <c r="F115" s="20"/>
    </row>
    <row r="116">
      <c r="A116" s="28"/>
      <c r="B116" s="93"/>
      <c r="C116" s="114"/>
      <c r="D116" s="114"/>
      <c r="E116" s="20"/>
      <c r="F116" s="20"/>
    </row>
    <row r="117">
      <c r="A117" s="28"/>
      <c r="B117" s="93"/>
      <c r="C117" s="114"/>
      <c r="D117" s="114"/>
      <c r="E117" s="20"/>
      <c r="F117" s="20"/>
    </row>
    <row r="118">
      <c r="A118" s="28"/>
      <c r="B118" s="93"/>
      <c r="C118" s="114"/>
      <c r="D118" s="114"/>
      <c r="E118" s="20"/>
      <c r="F118" s="20"/>
    </row>
    <row r="119">
      <c r="A119" s="28"/>
      <c r="B119" s="93"/>
      <c r="C119" s="114"/>
      <c r="D119" s="114"/>
      <c r="E119" s="20"/>
      <c r="F119" s="20"/>
    </row>
    <row r="120">
      <c r="A120" s="28"/>
      <c r="B120" s="93"/>
      <c r="C120" s="114"/>
      <c r="D120" s="114"/>
      <c r="E120" s="20"/>
      <c r="F120" s="20"/>
    </row>
    <row r="121">
      <c r="A121" s="28"/>
      <c r="B121" s="93"/>
      <c r="C121" s="114"/>
      <c r="D121" s="114"/>
      <c r="E121" s="20"/>
      <c r="F121" s="20"/>
    </row>
    <row r="122">
      <c r="A122" s="28"/>
      <c r="B122" s="93"/>
      <c r="C122" s="114"/>
      <c r="D122" s="114"/>
      <c r="E122" s="20"/>
      <c r="F122" s="20"/>
    </row>
    <row r="123">
      <c r="A123" s="28"/>
      <c r="B123" s="93"/>
      <c r="C123" s="114"/>
      <c r="D123" s="114"/>
      <c r="E123" s="20"/>
      <c r="F123" s="20"/>
    </row>
    <row r="124">
      <c r="A124" s="28"/>
      <c r="B124" s="93"/>
      <c r="C124" s="114"/>
      <c r="D124" s="114"/>
      <c r="E124" s="20"/>
      <c r="F124" s="20"/>
    </row>
    <row r="125">
      <c r="A125" s="28"/>
      <c r="B125" s="93"/>
      <c r="C125" s="114"/>
      <c r="D125" s="114"/>
      <c r="E125" s="20"/>
      <c r="F125" s="20"/>
    </row>
    <row r="126">
      <c r="A126" s="28"/>
      <c r="B126" s="93"/>
      <c r="C126" s="114"/>
      <c r="D126" s="114"/>
      <c r="E126" s="20"/>
      <c r="F126" s="20"/>
    </row>
    <row r="127">
      <c r="A127" s="28"/>
      <c r="B127" s="93"/>
      <c r="C127" s="114"/>
      <c r="D127" s="114"/>
      <c r="E127" s="20"/>
      <c r="F127" s="20"/>
    </row>
    <row r="128">
      <c r="A128" s="28"/>
      <c r="B128" s="93"/>
      <c r="C128" s="114"/>
      <c r="D128" s="114"/>
      <c r="E128" s="20"/>
      <c r="F128" s="20"/>
    </row>
    <row r="129">
      <c r="A129" s="28"/>
      <c r="B129" s="93"/>
      <c r="C129" s="114"/>
      <c r="D129" s="114"/>
      <c r="E129" s="20"/>
      <c r="F129" s="20"/>
    </row>
    <row r="130">
      <c r="A130" s="28"/>
      <c r="B130" s="93"/>
      <c r="C130" s="114"/>
      <c r="D130" s="114"/>
      <c r="E130" s="20"/>
      <c r="F130" s="20"/>
    </row>
    <row r="131">
      <c r="A131" s="28"/>
      <c r="B131" s="93"/>
      <c r="C131" s="114"/>
      <c r="D131" s="114"/>
      <c r="E131" s="20"/>
      <c r="F131" s="20"/>
    </row>
    <row r="132">
      <c r="A132" s="28"/>
      <c r="B132" s="93"/>
      <c r="C132" s="114"/>
      <c r="D132" s="114"/>
      <c r="E132" s="20"/>
      <c r="F132" s="20"/>
    </row>
    <row r="133">
      <c r="A133" s="28"/>
      <c r="B133" s="93"/>
      <c r="C133" s="114"/>
      <c r="D133" s="114"/>
      <c r="E133" s="20"/>
      <c r="F133" s="20"/>
    </row>
    <row r="134">
      <c r="A134" s="28"/>
      <c r="B134" s="93"/>
      <c r="C134" s="114"/>
      <c r="D134" s="114"/>
      <c r="E134" s="20"/>
      <c r="F134" s="20"/>
    </row>
    <row r="135">
      <c r="A135" s="28"/>
      <c r="B135" s="93"/>
      <c r="C135" s="114"/>
      <c r="D135" s="114"/>
      <c r="E135" s="20"/>
      <c r="F135" s="20"/>
    </row>
    <row r="136">
      <c r="A136" s="28"/>
      <c r="B136" s="93"/>
      <c r="C136" s="114"/>
      <c r="D136" s="114"/>
      <c r="E136" s="20"/>
      <c r="F136" s="20"/>
    </row>
    <row r="137">
      <c r="A137" s="28"/>
      <c r="B137" s="93"/>
      <c r="C137" s="114"/>
      <c r="D137" s="114"/>
      <c r="E137" s="20"/>
      <c r="F137" s="20"/>
    </row>
    <row r="138">
      <c r="A138" s="28"/>
      <c r="B138" s="93"/>
      <c r="C138" s="114"/>
      <c r="D138" s="114"/>
      <c r="E138" s="20"/>
      <c r="F138" s="20"/>
    </row>
    <row r="139">
      <c r="A139" s="28"/>
      <c r="B139" s="93"/>
      <c r="C139" s="114"/>
      <c r="D139" s="114"/>
      <c r="E139" s="20"/>
      <c r="F139" s="20"/>
    </row>
    <row r="140">
      <c r="A140" s="28"/>
      <c r="B140" s="93"/>
      <c r="C140" s="114"/>
      <c r="D140" s="114"/>
      <c r="E140" s="20"/>
      <c r="F140" s="20"/>
    </row>
    <row r="141">
      <c r="A141" s="28"/>
      <c r="B141" s="93"/>
      <c r="C141" s="114"/>
      <c r="D141" s="114"/>
      <c r="E141" s="20"/>
      <c r="F141" s="20"/>
    </row>
    <row r="142">
      <c r="A142" s="28"/>
      <c r="B142" s="93"/>
      <c r="C142" s="114"/>
      <c r="D142" s="114"/>
      <c r="E142" s="20"/>
      <c r="F142" s="20"/>
    </row>
    <row r="143">
      <c r="A143" s="28"/>
      <c r="B143" s="93"/>
      <c r="C143" s="114"/>
      <c r="D143" s="114"/>
      <c r="E143" s="20"/>
      <c r="F143" s="20"/>
    </row>
    <row r="144">
      <c r="A144" s="28"/>
      <c r="B144" s="93"/>
      <c r="C144" s="114"/>
      <c r="D144" s="114"/>
      <c r="E144" s="20"/>
      <c r="F144" s="20"/>
    </row>
    <row r="145">
      <c r="A145" s="28"/>
      <c r="B145" s="93"/>
      <c r="C145" s="114"/>
      <c r="D145" s="114"/>
      <c r="E145" s="20"/>
      <c r="F145" s="20"/>
    </row>
    <row r="146">
      <c r="A146" s="28"/>
      <c r="B146" s="93"/>
      <c r="C146" s="114"/>
      <c r="D146" s="114"/>
      <c r="E146" s="20"/>
      <c r="F146" s="20"/>
    </row>
    <row r="147">
      <c r="A147" s="28"/>
      <c r="B147" s="93"/>
      <c r="C147" s="114"/>
      <c r="D147" s="114"/>
      <c r="E147" s="20"/>
      <c r="F147" s="20"/>
    </row>
    <row r="148">
      <c r="A148" s="28"/>
      <c r="B148" s="93"/>
      <c r="C148" s="114"/>
      <c r="D148" s="114"/>
      <c r="E148" s="20"/>
      <c r="F148" s="20"/>
    </row>
    <row r="149">
      <c r="A149" s="28"/>
      <c r="B149" s="93"/>
      <c r="C149" s="114"/>
      <c r="D149" s="114"/>
      <c r="E149" s="20"/>
      <c r="F149" s="20"/>
    </row>
    <row r="150">
      <c r="A150" s="28"/>
      <c r="B150" s="93"/>
      <c r="C150" s="114"/>
      <c r="D150" s="114"/>
      <c r="E150" s="20"/>
      <c r="F150" s="20"/>
    </row>
    <row r="151">
      <c r="A151" s="28"/>
      <c r="B151" s="93"/>
      <c r="C151" s="114"/>
      <c r="D151" s="114"/>
      <c r="E151" s="20"/>
      <c r="F151" s="20"/>
    </row>
    <row r="152">
      <c r="A152" s="28"/>
      <c r="B152" s="93"/>
      <c r="C152" s="114"/>
      <c r="D152" s="114"/>
      <c r="E152" s="20"/>
      <c r="F152" s="20"/>
    </row>
    <row r="153">
      <c r="A153" s="28"/>
      <c r="B153" s="93"/>
      <c r="C153" s="114"/>
      <c r="D153" s="114"/>
      <c r="E153" s="20"/>
      <c r="F153" s="20"/>
    </row>
    <row r="154">
      <c r="A154" s="28"/>
      <c r="B154" s="93"/>
      <c r="C154" s="114"/>
      <c r="D154" s="114"/>
      <c r="E154" s="20"/>
      <c r="F154" s="20"/>
    </row>
    <row r="155">
      <c r="A155" s="28"/>
      <c r="B155" s="93"/>
      <c r="C155" s="114"/>
      <c r="D155" s="114"/>
      <c r="E155" s="20"/>
      <c r="F155" s="20"/>
    </row>
    <row r="156">
      <c r="A156" s="28"/>
      <c r="B156" s="93"/>
      <c r="C156" s="114"/>
      <c r="D156" s="114"/>
      <c r="E156" s="20"/>
      <c r="F156" s="20"/>
    </row>
    <row r="157">
      <c r="A157" s="28"/>
      <c r="B157" s="93"/>
      <c r="C157" s="114"/>
      <c r="D157" s="114"/>
      <c r="E157" s="20"/>
      <c r="F157" s="20"/>
    </row>
    <row r="158">
      <c r="A158" s="28"/>
      <c r="B158" s="93"/>
      <c r="C158" s="114"/>
      <c r="D158" s="114"/>
      <c r="E158" s="20"/>
      <c r="F158" s="20"/>
    </row>
    <row r="159">
      <c r="A159" s="28"/>
      <c r="B159" s="93"/>
      <c r="C159" s="114"/>
      <c r="D159" s="114"/>
      <c r="E159" s="20"/>
      <c r="F159" s="20"/>
    </row>
    <row r="160">
      <c r="A160" s="28"/>
      <c r="B160" s="93"/>
      <c r="C160" s="114"/>
      <c r="D160" s="114"/>
      <c r="E160" s="20"/>
      <c r="F160" s="20"/>
    </row>
    <row r="161">
      <c r="A161" s="28"/>
      <c r="B161" s="93"/>
      <c r="C161" s="114"/>
      <c r="D161" s="114"/>
      <c r="E161" s="20"/>
      <c r="F161" s="20"/>
    </row>
    <row r="162">
      <c r="A162" s="28"/>
      <c r="B162" s="93"/>
      <c r="C162" s="114"/>
      <c r="D162" s="114"/>
      <c r="E162" s="20"/>
      <c r="F162" s="20"/>
    </row>
    <row r="163">
      <c r="A163" s="28"/>
      <c r="B163" s="93"/>
      <c r="C163" s="114"/>
      <c r="D163" s="114"/>
      <c r="E163" s="20"/>
      <c r="F163" s="20"/>
    </row>
    <row r="164">
      <c r="A164" s="28"/>
      <c r="B164" s="93"/>
      <c r="C164" s="114"/>
      <c r="D164" s="114"/>
      <c r="E164" s="20"/>
      <c r="F164" s="20"/>
    </row>
    <row r="165">
      <c r="A165" s="28"/>
      <c r="B165" s="93"/>
      <c r="C165" s="114"/>
      <c r="D165" s="114"/>
      <c r="E165" s="20"/>
      <c r="F165" s="20"/>
    </row>
    <row r="166">
      <c r="A166" s="28"/>
      <c r="B166" s="93"/>
      <c r="C166" s="114"/>
      <c r="D166" s="114"/>
      <c r="E166" s="20"/>
      <c r="F166" s="20"/>
    </row>
    <row r="167">
      <c r="A167" s="28"/>
      <c r="B167" s="93"/>
      <c r="C167" s="114"/>
      <c r="D167" s="114"/>
      <c r="E167" s="20"/>
      <c r="F167" s="20"/>
    </row>
    <row r="168">
      <c r="A168" s="28"/>
      <c r="B168" s="93"/>
      <c r="C168" s="114"/>
      <c r="D168" s="114"/>
      <c r="E168" s="20"/>
      <c r="F168" s="20"/>
    </row>
    <row r="169">
      <c r="A169" s="28"/>
      <c r="B169" s="93"/>
      <c r="C169" s="114"/>
      <c r="D169" s="114"/>
      <c r="E169" s="20"/>
      <c r="F169" s="20"/>
    </row>
    <row r="170">
      <c r="A170" s="28"/>
      <c r="B170" s="93"/>
      <c r="C170" s="114"/>
      <c r="D170" s="114"/>
      <c r="E170" s="20"/>
      <c r="F170" s="20"/>
    </row>
    <row r="171">
      <c r="A171" s="28"/>
      <c r="B171" s="93"/>
      <c r="C171" s="114"/>
      <c r="D171" s="114"/>
      <c r="E171" s="20"/>
      <c r="F171" s="20"/>
    </row>
    <row r="172">
      <c r="A172" s="28"/>
      <c r="B172" s="93"/>
      <c r="C172" s="114"/>
      <c r="D172" s="114"/>
      <c r="E172" s="20"/>
      <c r="F172" s="20"/>
    </row>
    <row r="173">
      <c r="A173" s="28"/>
      <c r="B173" s="93"/>
      <c r="C173" s="114"/>
      <c r="D173" s="114"/>
      <c r="E173" s="20"/>
      <c r="F173" s="20"/>
    </row>
    <row r="174">
      <c r="A174" s="28"/>
      <c r="B174" s="93"/>
      <c r="C174" s="114"/>
      <c r="D174" s="114"/>
      <c r="E174" s="20"/>
      <c r="F174" s="20"/>
    </row>
    <row r="175">
      <c r="A175" s="28"/>
      <c r="B175" s="93"/>
      <c r="C175" s="114"/>
      <c r="D175" s="114"/>
      <c r="E175" s="20"/>
      <c r="F175" s="20"/>
    </row>
    <row r="176">
      <c r="A176" s="28"/>
      <c r="B176" s="93"/>
      <c r="C176" s="114"/>
      <c r="D176" s="114"/>
      <c r="E176" s="20"/>
      <c r="F176" s="20"/>
    </row>
    <row r="177">
      <c r="A177" s="28"/>
      <c r="B177" s="93"/>
      <c r="C177" s="114"/>
      <c r="D177" s="114"/>
      <c r="E177" s="20"/>
      <c r="F177" s="20"/>
    </row>
    <row r="178">
      <c r="A178" s="28"/>
      <c r="B178" s="93"/>
      <c r="C178" s="114"/>
      <c r="D178" s="114"/>
      <c r="E178" s="20"/>
      <c r="F178" s="20"/>
    </row>
    <row r="179">
      <c r="A179" s="28"/>
      <c r="B179" s="93"/>
      <c r="C179" s="114"/>
      <c r="D179" s="114"/>
      <c r="E179" s="20"/>
      <c r="F179" s="20"/>
    </row>
    <row r="180">
      <c r="A180" s="28"/>
      <c r="B180" s="93"/>
      <c r="C180" s="114"/>
      <c r="D180" s="114"/>
      <c r="E180" s="20"/>
      <c r="F180" s="20"/>
    </row>
    <row r="181">
      <c r="A181" s="28"/>
      <c r="B181" s="93"/>
      <c r="C181" s="114"/>
      <c r="D181" s="114"/>
      <c r="E181" s="20"/>
      <c r="F181" s="20"/>
    </row>
    <row r="182">
      <c r="A182" s="28"/>
      <c r="B182" s="93"/>
      <c r="C182" s="114"/>
      <c r="D182" s="114"/>
      <c r="E182" s="20"/>
      <c r="F182" s="20"/>
    </row>
    <row r="183">
      <c r="A183" s="28"/>
      <c r="B183" s="93"/>
      <c r="C183" s="114"/>
      <c r="D183" s="114"/>
      <c r="E183" s="20"/>
      <c r="F183" s="20"/>
    </row>
    <row r="184">
      <c r="A184" s="28"/>
      <c r="B184" s="93"/>
      <c r="C184" s="114"/>
      <c r="D184" s="114"/>
      <c r="E184" s="20"/>
      <c r="F184" s="20"/>
    </row>
    <row r="185">
      <c r="A185" s="28"/>
      <c r="B185" s="93"/>
      <c r="C185" s="114"/>
      <c r="D185" s="114"/>
      <c r="E185" s="20"/>
      <c r="F185" s="20"/>
    </row>
    <row r="186">
      <c r="A186" s="28"/>
      <c r="B186" s="93"/>
      <c r="C186" s="114"/>
      <c r="D186" s="114"/>
      <c r="E186" s="20"/>
      <c r="F186" s="20"/>
    </row>
    <row r="187">
      <c r="A187" s="28"/>
      <c r="B187" s="93"/>
      <c r="C187" s="114"/>
      <c r="D187" s="114"/>
      <c r="E187" s="20"/>
      <c r="F187" s="20"/>
    </row>
    <row r="188">
      <c r="A188" s="28"/>
      <c r="B188" s="93"/>
      <c r="C188" s="114"/>
      <c r="D188" s="114"/>
      <c r="E188" s="20"/>
      <c r="F188" s="20"/>
    </row>
    <row r="189">
      <c r="A189" s="28"/>
      <c r="B189" s="93"/>
      <c r="C189" s="114"/>
      <c r="D189" s="114"/>
      <c r="E189" s="20"/>
      <c r="F189" s="20"/>
    </row>
    <row r="190">
      <c r="A190" s="28"/>
      <c r="B190" s="93"/>
      <c r="C190" s="114"/>
      <c r="D190" s="114"/>
      <c r="E190" s="20"/>
      <c r="F190" s="20"/>
    </row>
    <row r="191">
      <c r="A191" s="28"/>
      <c r="B191" s="93"/>
      <c r="C191" s="114"/>
      <c r="D191" s="114"/>
      <c r="E191" s="20"/>
      <c r="F191" s="20"/>
    </row>
    <row r="192">
      <c r="A192" s="28"/>
      <c r="B192" s="93"/>
      <c r="C192" s="114"/>
      <c r="D192" s="114"/>
      <c r="E192" s="20"/>
      <c r="F192" s="20"/>
    </row>
    <row r="193">
      <c r="A193" s="28"/>
      <c r="B193" s="93"/>
      <c r="C193" s="114"/>
      <c r="D193" s="114"/>
      <c r="E193" s="20"/>
      <c r="F193" s="20"/>
    </row>
    <row r="194">
      <c r="A194" s="28"/>
      <c r="B194" s="93"/>
      <c r="C194" s="114"/>
      <c r="D194" s="114"/>
      <c r="E194" s="20"/>
      <c r="F194" s="20"/>
    </row>
    <row r="195">
      <c r="A195" s="28"/>
      <c r="B195" s="93"/>
      <c r="C195" s="114"/>
      <c r="D195" s="114"/>
      <c r="E195" s="20"/>
      <c r="F195" s="20"/>
    </row>
    <row r="196">
      <c r="A196" s="28"/>
      <c r="B196" s="93"/>
      <c r="C196" s="114"/>
      <c r="D196" s="114"/>
      <c r="E196" s="20"/>
      <c r="F196" s="20"/>
    </row>
    <row r="197">
      <c r="A197" s="28"/>
      <c r="B197" s="93"/>
      <c r="C197" s="114"/>
      <c r="D197" s="114"/>
      <c r="E197" s="20"/>
      <c r="F197" s="20"/>
    </row>
    <row r="198">
      <c r="A198" s="28"/>
      <c r="B198" s="93"/>
      <c r="C198" s="114"/>
      <c r="D198" s="114"/>
      <c r="E198" s="20"/>
      <c r="F198" s="20"/>
    </row>
    <row r="199">
      <c r="A199" s="28"/>
      <c r="B199" s="93"/>
      <c r="C199" s="114"/>
      <c r="D199" s="114"/>
      <c r="E199" s="20"/>
      <c r="F199" s="20"/>
    </row>
    <row r="200">
      <c r="A200" s="28"/>
      <c r="B200" s="93"/>
      <c r="C200" s="114"/>
      <c r="D200" s="114"/>
      <c r="E200" s="20"/>
      <c r="F200" s="20"/>
    </row>
    <row r="201">
      <c r="A201" s="28"/>
      <c r="B201" s="93"/>
      <c r="C201" s="114"/>
      <c r="D201" s="114"/>
      <c r="E201" s="20"/>
      <c r="F201" s="20"/>
    </row>
    <row r="202">
      <c r="A202" s="28"/>
      <c r="B202" s="93"/>
      <c r="C202" s="114"/>
      <c r="D202" s="114"/>
      <c r="E202" s="20"/>
      <c r="F202" s="20"/>
    </row>
    <row r="203">
      <c r="A203" s="28"/>
      <c r="B203" s="93"/>
      <c r="C203" s="114"/>
      <c r="D203" s="114"/>
      <c r="E203" s="20"/>
      <c r="F203" s="20"/>
    </row>
    <row r="204">
      <c r="A204" s="28"/>
      <c r="B204" s="93"/>
      <c r="C204" s="114"/>
      <c r="D204" s="114"/>
      <c r="E204" s="20"/>
      <c r="F204" s="20"/>
    </row>
    <row r="205">
      <c r="A205" s="28"/>
      <c r="B205" s="93"/>
      <c r="C205" s="114"/>
      <c r="D205" s="114"/>
      <c r="E205" s="20"/>
      <c r="F205" s="20"/>
    </row>
    <row r="206">
      <c r="A206" s="28"/>
      <c r="B206" s="93"/>
      <c r="C206" s="114"/>
      <c r="D206" s="114"/>
      <c r="E206" s="20"/>
      <c r="F206" s="20"/>
    </row>
    <row r="207">
      <c r="A207" s="28"/>
      <c r="B207" s="93"/>
      <c r="C207" s="114"/>
      <c r="D207" s="114"/>
      <c r="E207" s="20"/>
      <c r="F207" s="20"/>
    </row>
    <row r="208">
      <c r="A208" s="28"/>
      <c r="B208" s="93"/>
      <c r="C208" s="114"/>
      <c r="D208" s="114"/>
      <c r="E208" s="20"/>
      <c r="F208" s="20"/>
    </row>
    <row r="209">
      <c r="A209" s="28"/>
      <c r="B209" s="93"/>
      <c r="C209" s="114"/>
      <c r="D209" s="114"/>
      <c r="E209" s="20"/>
      <c r="F209" s="20"/>
    </row>
    <row r="210">
      <c r="A210" s="28"/>
      <c r="B210" s="93"/>
      <c r="C210" s="114"/>
      <c r="D210" s="114"/>
      <c r="E210" s="20"/>
      <c r="F210" s="20"/>
    </row>
    <row r="211">
      <c r="A211" s="28"/>
      <c r="B211" s="93"/>
      <c r="C211" s="114"/>
      <c r="D211" s="114"/>
      <c r="E211" s="20"/>
      <c r="F211" s="20"/>
    </row>
    <row r="212">
      <c r="A212" s="28"/>
      <c r="B212" s="93"/>
      <c r="C212" s="114"/>
      <c r="D212" s="114"/>
      <c r="E212" s="20"/>
      <c r="F212" s="20"/>
    </row>
    <row r="213">
      <c r="A213" s="28"/>
      <c r="B213" s="93"/>
      <c r="C213" s="114"/>
      <c r="D213" s="114"/>
      <c r="E213" s="20"/>
      <c r="F213" s="20"/>
    </row>
    <row r="214">
      <c r="A214" s="28"/>
      <c r="B214" s="93"/>
      <c r="C214" s="114"/>
      <c r="D214" s="114"/>
      <c r="E214" s="20"/>
      <c r="F214" s="20"/>
    </row>
    <row r="215">
      <c r="A215" s="28"/>
      <c r="B215" s="93"/>
      <c r="C215" s="114"/>
      <c r="D215" s="114"/>
      <c r="E215" s="20"/>
      <c r="F215" s="20"/>
    </row>
    <row r="216">
      <c r="A216" s="28"/>
      <c r="B216" s="93"/>
      <c r="C216" s="114"/>
      <c r="D216" s="114"/>
      <c r="E216" s="20"/>
      <c r="F216" s="20"/>
    </row>
    <row r="217">
      <c r="A217" s="28"/>
      <c r="B217" s="93"/>
      <c r="C217" s="114"/>
      <c r="D217" s="114"/>
      <c r="E217" s="20"/>
      <c r="F217" s="20"/>
    </row>
    <row r="218">
      <c r="A218" s="28"/>
      <c r="B218" s="93"/>
      <c r="C218" s="114"/>
      <c r="D218" s="114"/>
      <c r="E218" s="20"/>
      <c r="F218" s="20"/>
    </row>
    <row r="219">
      <c r="A219" s="28"/>
      <c r="B219" s="93"/>
      <c r="C219" s="114"/>
      <c r="D219" s="114"/>
      <c r="E219" s="20"/>
      <c r="F219" s="20"/>
    </row>
    <row r="220">
      <c r="A220" s="28"/>
      <c r="B220" s="93"/>
      <c r="C220" s="114"/>
      <c r="D220" s="114"/>
      <c r="E220" s="20"/>
      <c r="F220" s="20"/>
    </row>
    <row r="221">
      <c r="A221" s="28"/>
      <c r="B221" s="93"/>
      <c r="C221" s="114"/>
      <c r="D221" s="114"/>
      <c r="E221" s="20"/>
      <c r="F221" s="20"/>
    </row>
    <row r="222">
      <c r="A222" s="28"/>
      <c r="B222" s="93"/>
      <c r="C222" s="114"/>
      <c r="D222" s="114"/>
      <c r="E222" s="20"/>
      <c r="F222" s="20"/>
    </row>
    <row r="223">
      <c r="A223" s="28"/>
      <c r="B223" s="93"/>
      <c r="C223" s="114"/>
      <c r="D223" s="114"/>
      <c r="E223" s="20"/>
      <c r="F223" s="20"/>
    </row>
    <row r="224">
      <c r="A224" s="28"/>
      <c r="B224" s="93"/>
      <c r="C224" s="114"/>
      <c r="D224" s="114"/>
      <c r="E224" s="20"/>
      <c r="F224" s="20"/>
    </row>
    <row r="225">
      <c r="A225" s="28"/>
      <c r="B225" s="93"/>
      <c r="C225" s="114"/>
      <c r="D225" s="114"/>
      <c r="E225" s="20"/>
      <c r="F225" s="20"/>
    </row>
    <row r="226">
      <c r="A226" s="28"/>
      <c r="B226" s="93"/>
      <c r="C226" s="114"/>
      <c r="D226" s="114"/>
      <c r="E226" s="20"/>
      <c r="F226" s="20"/>
    </row>
    <row r="227">
      <c r="A227" s="28"/>
      <c r="B227" s="93"/>
      <c r="C227" s="114"/>
      <c r="D227" s="114"/>
      <c r="E227" s="20"/>
      <c r="F227" s="20"/>
    </row>
    <row r="228">
      <c r="A228" s="28"/>
      <c r="B228" s="93"/>
      <c r="C228" s="114"/>
      <c r="D228" s="114"/>
      <c r="E228" s="20"/>
      <c r="F228" s="20"/>
    </row>
    <row r="229">
      <c r="A229" s="28"/>
      <c r="B229" s="93"/>
      <c r="C229" s="114"/>
      <c r="D229" s="114"/>
      <c r="E229" s="20"/>
      <c r="F229" s="20"/>
    </row>
    <row r="230">
      <c r="A230" s="28"/>
      <c r="B230" s="93"/>
      <c r="C230" s="114"/>
      <c r="D230" s="114"/>
      <c r="E230" s="20"/>
      <c r="F230" s="20"/>
    </row>
    <row r="231">
      <c r="A231" s="28"/>
      <c r="B231" s="93"/>
      <c r="C231" s="114"/>
      <c r="D231" s="114"/>
      <c r="E231" s="20"/>
      <c r="F231" s="20"/>
    </row>
    <row r="232">
      <c r="A232" s="28"/>
      <c r="B232" s="93"/>
      <c r="C232" s="114"/>
      <c r="D232" s="114"/>
      <c r="E232" s="20"/>
      <c r="F232" s="20"/>
    </row>
    <row r="233">
      <c r="A233" s="28"/>
      <c r="B233" s="93"/>
      <c r="C233" s="114"/>
      <c r="D233" s="114"/>
      <c r="E233" s="20"/>
      <c r="F233" s="20"/>
    </row>
    <row r="234">
      <c r="A234" s="28"/>
      <c r="B234" s="93"/>
      <c r="C234" s="114"/>
      <c r="D234" s="114"/>
      <c r="E234" s="20"/>
      <c r="F234" s="20"/>
    </row>
    <row r="235">
      <c r="A235" s="28"/>
      <c r="B235" s="93"/>
      <c r="C235" s="114"/>
      <c r="D235" s="114"/>
      <c r="E235" s="20"/>
      <c r="F235" s="20"/>
    </row>
    <row r="236">
      <c r="A236" s="28"/>
      <c r="B236" s="93"/>
      <c r="C236" s="114"/>
      <c r="D236" s="114"/>
      <c r="E236" s="20"/>
      <c r="F236" s="20"/>
    </row>
    <row r="237">
      <c r="A237" s="28"/>
      <c r="B237" s="93"/>
      <c r="C237" s="114"/>
      <c r="D237" s="114"/>
      <c r="E237" s="20"/>
      <c r="F237" s="20"/>
    </row>
    <row r="238">
      <c r="A238" s="28"/>
      <c r="B238" s="93"/>
      <c r="C238" s="114"/>
      <c r="D238" s="114"/>
      <c r="E238" s="20"/>
      <c r="F238" s="20"/>
    </row>
    <row r="239">
      <c r="A239" s="28"/>
      <c r="B239" s="93"/>
      <c r="C239" s="114"/>
      <c r="D239" s="114"/>
      <c r="E239" s="20"/>
      <c r="F239" s="20"/>
    </row>
    <row r="240">
      <c r="A240" s="28"/>
      <c r="B240" s="93"/>
      <c r="C240" s="114"/>
      <c r="D240" s="114"/>
      <c r="E240" s="20"/>
      <c r="F240" s="20"/>
    </row>
    <row r="241">
      <c r="A241" s="28"/>
      <c r="B241" s="93"/>
      <c r="C241" s="114"/>
      <c r="D241" s="114"/>
      <c r="E241" s="20"/>
      <c r="F241" s="20"/>
    </row>
    <row r="242">
      <c r="A242" s="28"/>
      <c r="B242" s="93"/>
      <c r="C242" s="114"/>
      <c r="D242" s="114"/>
      <c r="E242" s="20"/>
      <c r="F242" s="20"/>
    </row>
    <row r="243">
      <c r="A243" s="28"/>
      <c r="B243" s="93"/>
      <c r="C243" s="114"/>
      <c r="D243" s="114"/>
      <c r="E243" s="20"/>
      <c r="F243" s="20"/>
    </row>
    <row r="244">
      <c r="A244" s="28"/>
      <c r="B244" s="93"/>
      <c r="C244" s="114"/>
      <c r="D244" s="114"/>
      <c r="E244" s="20"/>
      <c r="F244" s="20"/>
    </row>
    <row r="245">
      <c r="A245" s="28"/>
      <c r="B245" s="93"/>
      <c r="C245" s="114"/>
      <c r="D245" s="114"/>
      <c r="E245" s="20"/>
      <c r="F245" s="20"/>
    </row>
    <row r="246">
      <c r="A246" s="28"/>
      <c r="B246" s="93"/>
      <c r="C246" s="114"/>
      <c r="D246" s="114"/>
      <c r="E246" s="20"/>
      <c r="F246" s="20"/>
    </row>
    <row r="247">
      <c r="A247" s="28"/>
      <c r="B247" s="93"/>
      <c r="C247" s="114"/>
      <c r="D247" s="114"/>
      <c r="E247" s="20"/>
      <c r="F247" s="20"/>
    </row>
    <row r="248">
      <c r="A248" s="28"/>
      <c r="B248" s="93"/>
      <c r="C248" s="114"/>
      <c r="D248" s="114"/>
      <c r="E248" s="20"/>
      <c r="F248" s="20"/>
    </row>
    <row r="249">
      <c r="A249" s="28"/>
      <c r="B249" s="93"/>
      <c r="C249" s="114"/>
      <c r="D249" s="114"/>
      <c r="E249" s="20"/>
      <c r="F249" s="20"/>
    </row>
    <row r="250">
      <c r="A250" s="28"/>
      <c r="B250" s="93"/>
      <c r="C250" s="114"/>
      <c r="D250" s="114"/>
      <c r="E250" s="20"/>
      <c r="F250" s="20"/>
    </row>
    <row r="251">
      <c r="A251" s="28"/>
      <c r="B251" s="93"/>
      <c r="C251" s="114"/>
      <c r="D251" s="114"/>
      <c r="E251" s="20"/>
      <c r="F251" s="20"/>
    </row>
    <row r="252">
      <c r="A252" s="28"/>
      <c r="B252" s="93"/>
      <c r="C252" s="114"/>
      <c r="D252" s="114"/>
      <c r="E252" s="20"/>
      <c r="F252" s="20"/>
    </row>
    <row r="253">
      <c r="A253" s="28"/>
      <c r="B253" s="93"/>
      <c r="C253" s="114"/>
      <c r="D253" s="114"/>
      <c r="E253" s="20"/>
      <c r="F253" s="20"/>
    </row>
    <row r="254">
      <c r="A254" s="28"/>
      <c r="B254" s="93"/>
      <c r="C254" s="114"/>
      <c r="D254" s="114"/>
      <c r="E254" s="20"/>
      <c r="F254" s="20"/>
    </row>
    <row r="255">
      <c r="A255" s="28"/>
      <c r="B255" s="93"/>
      <c r="C255" s="114"/>
      <c r="D255" s="114"/>
      <c r="E255" s="20"/>
      <c r="F255" s="20"/>
    </row>
    <row r="256">
      <c r="A256" s="28"/>
      <c r="B256" s="93"/>
      <c r="C256" s="114"/>
      <c r="D256" s="114"/>
      <c r="E256" s="20"/>
      <c r="F256" s="20"/>
    </row>
    <row r="257">
      <c r="A257" s="28"/>
      <c r="B257" s="93"/>
      <c r="C257" s="114"/>
      <c r="D257" s="114"/>
      <c r="E257" s="20"/>
      <c r="F257" s="20"/>
    </row>
    <row r="258">
      <c r="A258" s="28"/>
      <c r="B258" s="93"/>
      <c r="C258" s="114"/>
      <c r="D258" s="114"/>
      <c r="E258" s="20"/>
      <c r="F258" s="20"/>
    </row>
    <row r="259">
      <c r="A259" s="28"/>
      <c r="B259" s="93"/>
      <c r="C259" s="114"/>
      <c r="D259" s="114"/>
      <c r="E259" s="20"/>
      <c r="F259" s="20"/>
    </row>
    <row r="260">
      <c r="A260" s="28"/>
      <c r="B260" s="93"/>
      <c r="C260" s="114"/>
      <c r="D260" s="114"/>
      <c r="E260" s="20"/>
      <c r="F260" s="20"/>
    </row>
    <row r="261">
      <c r="A261" s="28"/>
      <c r="B261" s="93"/>
      <c r="C261" s="114"/>
      <c r="D261" s="114"/>
      <c r="E261" s="20"/>
      <c r="F261" s="20"/>
    </row>
    <row r="262">
      <c r="A262" s="28"/>
      <c r="B262" s="93"/>
      <c r="C262" s="114"/>
      <c r="D262" s="114"/>
      <c r="E262" s="20"/>
      <c r="F262" s="20"/>
    </row>
    <row r="263">
      <c r="A263" s="28"/>
      <c r="B263" s="93"/>
      <c r="C263" s="114"/>
      <c r="D263" s="114"/>
      <c r="E263" s="20"/>
      <c r="F263" s="20"/>
    </row>
    <row r="264">
      <c r="A264" s="28"/>
      <c r="B264" s="93"/>
      <c r="C264" s="114"/>
      <c r="D264" s="114"/>
      <c r="E264" s="20"/>
      <c r="F264" s="20"/>
    </row>
    <row r="265">
      <c r="A265" s="28"/>
      <c r="B265" s="93"/>
      <c r="C265" s="114"/>
      <c r="D265" s="114"/>
      <c r="E265" s="20"/>
      <c r="F265" s="20"/>
    </row>
    <row r="266">
      <c r="A266" s="28"/>
      <c r="B266" s="93"/>
      <c r="C266" s="114"/>
      <c r="D266" s="114"/>
      <c r="E266" s="20"/>
      <c r="F266" s="20"/>
    </row>
    <row r="267">
      <c r="A267" s="28"/>
      <c r="B267" s="93"/>
      <c r="C267" s="114"/>
      <c r="D267" s="114"/>
      <c r="E267" s="20"/>
      <c r="F267" s="20"/>
    </row>
    <row r="268">
      <c r="A268" s="28"/>
      <c r="B268" s="93"/>
      <c r="C268" s="114"/>
      <c r="D268" s="114"/>
      <c r="E268" s="20"/>
      <c r="F268" s="20"/>
    </row>
    <row r="269">
      <c r="A269" s="28"/>
      <c r="B269" s="93"/>
      <c r="C269" s="114"/>
      <c r="D269" s="114"/>
      <c r="E269" s="20"/>
      <c r="F269" s="20"/>
    </row>
    <row r="270">
      <c r="A270" s="28"/>
      <c r="B270" s="93"/>
      <c r="C270" s="114"/>
      <c r="D270" s="114"/>
      <c r="E270" s="20"/>
      <c r="F270" s="20"/>
    </row>
    <row r="271">
      <c r="A271" s="28"/>
      <c r="B271" s="93"/>
      <c r="C271" s="114"/>
      <c r="D271" s="114"/>
      <c r="E271" s="20"/>
      <c r="F271" s="20"/>
    </row>
    <row r="272">
      <c r="A272" s="28"/>
      <c r="B272" s="93"/>
      <c r="C272" s="114"/>
      <c r="D272" s="114"/>
      <c r="E272" s="20"/>
      <c r="F272" s="20"/>
    </row>
    <row r="273">
      <c r="A273" s="28"/>
      <c r="B273" s="93"/>
      <c r="C273" s="114"/>
      <c r="D273" s="114"/>
      <c r="E273" s="20"/>
      <c r="F273" s="20"/>
    </row>
    <row r="274">
      <c r="A274" s="28"/>
      <c r="B274" s="93"/>
      <c r="C274" s="114"/>
      <c r="D274" s="114"/>
      <c r="E274" s="20"/>
      <c r="F274" s="20"/>
    </row>
    <row r="275">
      <c r="A275" s="28"/>
      <c r="B275" s="93"/>
      <c r="C275" s="114"/>
      <c r="D275" s="114"/>
      <c r="E275" s="20"/>
      <c r="F275" s="20"/>
    </row>
    <row r="276">
      <c r="A276" s="28"/>
      <c r="B276" s="93"/>
      <c r="C276" s="114"/>
      <c r="D276" s="114"/>
      <c r="E276" s="20"/>
      <c r="F276" s="20"/>
    </row>
    <row r="277">
      <c r="A277" s="28"/>
      <c r="B277" s="93"/>
      <c r="C277" s="114"/>
      <c r="D277" s="114"/>
      <c r="E277" s="20"/>
      <c r="F277" s="20"/>
    </row>
    <row r="278">
      <c r="A278" s="28"/>
      <c r="B278" s="93"/>
      <c r="C278" s="114"/>
      <c r="D278" s="114"/>
      <c r="E278" s="20"/>
      <c r="F278" s="20"/>
    </row>
    <row r="279">
      <c r="A279" s="28"/>
      <c r="B279" s="93"/>
      <c r="C279" s="114"/>
      <c r="D279" s="114"/>
      <c r="E279" s="20"/>
      <c r="F279" s="20"/>
    </row>
    <row r="280">
      <c r="A280" s="28"/>
      <c r="B280" s="93"/>
      <c r="C280" s="114"/>
      <c r="D280" s="114"/>
      <c r="E280" s="20"/>
      <c r="F280" s="20"/>
    </row>
    <row r="281">
      <c r="A281" s="28"/>
      <c r="B281" s="93"/>
      <c r="C281" s="114"/>
      <c r="D281" s="114"/>
      <c r="E281" s="20"/>
      <c r="F281" s="20"/>
    </row>
    <row r="282">
      <c r="A282" s="28"/>
      <c r="B282" s="93"/>
      <c r="C282" s="114"/>
      <c r="D282" s="114"/>
      <c r="E282" s="20"/>
      <c r="F282" s="20"/>
    </row>
    <row r="283">
      <c r="A283" s="28"/>
      <c r="B283" s="93"/>
      <c r="C283" s="114"/>
      <c r="D283" s="114"/>
      <c r="E283" s="20"/>
      <c r="F283" s="20"/>
    </row>
    <row r="284">
      <c r="A284" s="28"/>
      <c r="B284" s="93"/>
      <c r="C284" s="114"/>
      <c r="D284" s="114"/>
      <c r="E284" s="20"/>
      <c r="F284" s="20"/>
    </row>
    <row r="285">
      <c r="A285" s="28"/>
      <c r="B285" s="93"/>
      <c r="C285" s="114"/>
      <c r="D285" s="114"/>
      <c r="E285" s="20"/>
      <c r="F285" s="20"/>
    </row>
    <row r="286">
      <c r="A286" s="28"/>
      <c r="B286" s="93"/>
      <c r="C286" s="114"/>
      <c r="D286" s="114"/>
      <c r="E286" s="20"/>
      <c r="F286" s="20"/>
    </row>
    <row r="287">
      <c r="A287" s="28"/>
      <c r="B287" s="93"/>
      <c r="C287" s="114"/>
      <c r="D287" s="114"/>
      <c r="E287" s="20"/>
      <c r="F287" s="20"/>
    </row>
    <row r="288">
      <c r="A288" s="28"/>
      <c r="B288" s="93"/>
      <c r="C288" s="114"/>
      <c r="D288" s="114"/>
      <c r="E288" s="20"/>
      <c r="F288" s="20"/>
    </row>
    <row r="289">
      <c r="A289" s="28"/>
      <c r="B289" s="93"/>
      <c r="C289" s="114"/>
      <c r="D289" s="114"/>
      <c r="E289" s="20"/>
      <c r="F289" s="20"/>
    </row>
    <row r="290">
      <c r="A290" s="28"/>
      <c r="B290" s="93"/>
      <c r="C290" s="114"/>
      <c r="D290" s="114"/>
      <c r="E290" s="20"/>
      <c r="F290" s="20"/>
    </row>
    <row r="291">
      <c r="A291" s="28"/>
      <c r="B291" s="93"/>
      <c r="C291" s="114"/>
      <c r="D291" s="114"/>
      <c r="E291" s="20"/>
      <c r="F291" s="20"/>
    </row>
    <row r="292">
      <c r="A292" s="28"/>
      <c r="B292" s="93"/>
      <c r="C292" s="114"/>
      <c r="D292" s="114"/>
      <c r="E292" s="20"/>
      <c r="F292" s="20"/>
    </row>
    <row r="293">
      <c r="A293" s="28"/>
      <c r="B293" s="93"/>
      <c r="C293" s="114"/>
      <c r="D293" s="114"/>
      <c r="E293" s="20"/>
      <c r="F293" s="20"/>
    </row>
    <row r="294">
      <c r="A294" s="28"/>
      <c r="B294" s="93"/>
      <c r="C294" s="114"/>
      <c r="D294" s="114"/>
      <c r="E294" s="20"/>
      <c r="F294" s="20"/>
    </row>
    <row r="295">
      <c r="A295" s="28"/>
      <c r="B295" s="93"/>
      <c r="C295" s="114"/>
      <c r="D295" s="114"/>
      <c r="E295" s="20"/>
      <c r="F295" s="20"/>
    </row>
    <row r="296">
      <c r="A296" s="28"/>
      <c r="B296" s="93"/>
      <c r="C296" s="114"/>
      <c r="D296" s="114"/>
      <c r="E296" s="20"/>
      <c r="F296" s="20"/>
    </row>
    <row r="297">
      <c r="A297" s="28"/>
      <c r="B297" s="93"/>
      <c r="C297" s="114"/>
      <c r="D297" s="114"/>
      <c r="E297" s="20"/>
      <c r="F297" s="20"/>
    </row>
    <row r="298">
      <c r="A298" s="28"/>
      <c r="B298" s="93"/>
      <c r="C298" s="114"/>
      <c r="D298" s="114"/>
      <c r="E298" s="20"/>
      <c r="F298" s="20"/>
    </row>
    <row r="299">
      <c r="A299" s="28"/>
      <c r="B299" s="93"/>
      <c r="C299" s="114"/>
      <c r="D299" s="114"/>
      <c r="E299" s="20"/>
      <c r="F299" s="20"/>
    </row>
    <row r="300">
      <c r="A300" s="28"/>
      <c r="B300" s="93"/>
      <c r="C300" s="114"/>
      <c r="D300" s="114"/>
      <c r="E300" s="20"/>
      <c r="F300" s="20"/>
    </row>
    <row r="301">
      <c r="A301" s="28"/>
      <c r="B301" s="93"/>
      <c r="C301" s="114"/>
      <c r="D301" s="114"/>
      <c r="E301" s="20"/>
      <c r="F301" s="20"/>
    </row>
    <row r="302">
      <c r="A302" s="28"/>
      <c r="B302" s="93"/>
      <c r="C302" s="114"/>
      <c r="D302" s="114"/>
      <c r="E302" s="20"/>
      <c r="F302" s="20"/>
    </row>
    <row r="303">
      <c r="A303" s="28"/>
      <c r="B303" s="93"/>
      <c r="C303" s="114"/>
      <c r="D303" s="114"/>
      <c r="E303" s="20"/>
      <c r="F303" s="20"/>
    </row>
    <row r="304">
      <c r="A304" s="28"/>
      <c r="B304" s="93"/>
      <c r="C304" s="114"/>
      <c r="D304" s="114"/>
      <c r="E304" s="20"/>
      <c r="F304" s="20"/>
    </row>
    <row r="305">
      <c r="A305" s="28"/>
      <c r="B305" s="93"/>
      <c r="C305" s="114"/>
      <c r="D305" s="114"/>
      <c r="E305" s="20"/>
      <c r="F305" s="20"/>
    </row>
    <row r="306">
      <c r="A306" s="28"/>
      <c r="B306" s="93"/>
      <c r="C306" s="114"/>
      <c r="D306" s="114"/>
      <c r="E306" s="20"/>
      <c r="F306" s="20"/>
    </row>
    <row r="307">
      <c r="A307" s="28"/>
      <c r="B307" s="93"/>
      <c r="C307" s="114"/>
      <c r="D307" s="114"/>
      <c r="E307" s="20"/>
      <c r="F307" s="20"/>
    </row>
    <row r="308">
      <c r="A308" s="28"/>
      <c r="B308" s="93"/>
      <c r="C308" s="114"/>
      <c r="D308" s="114"/>
      <c r="E308" s="20"/>
      <c r="F308" s="20"/>
    </row>
    <row r="309">
      <c r="A309" s="28"/>
      <c r="B309" s="93"/>
      <c r="C309" s="114"/>
      <c r="D309" s="114"/>
      <c r="E309" s="20"/>
      <c r="F309" s="20"/>
    </row>
    <row r="310">
      <c r="A310" s="28"/>
      <c r="B310" s="93"/>
      <c r="C310" s="114"/>
      <c r="D310" s="114"/>
      <c r="E310" s="20"/>
      <c r="F310" s="20"/>
    </row>
    <row r="311">
      <c r="A311" s="28"/>
      <c r="B311" s="93"/>
      <c r="C311" s="114"/>
      <c r="D311" s="114"/>
      <c r="E311" s="20"/>
      <c r="F311" s="20"/>
    </row>
    <row r="312">
      <c r="A312" s="28"/>
      <c r="B312" s="93"/>
      <c r="C312" s="114"/>
      <c r="D312" s="114"/>
      <c r="E312" s="20"/>
      <c r="F312" s="20"/>
    </row>
    <row r="313">
      <c r="A313" s="28"/>
      <c r="B313" s="93"/>
      <c r="C313" s="114"/>
      <c r="D313" s="114"/>
      <c r="E313" s="20"/>
      <c r="F313" s="20"/>
    </row>
    <row r="314">
      <c r="A314" s="28"/>
      <c r="B314" s="93"/>
      <c r="C314" s="114"/>
      <c r="D314" s="114"/>
      <c r="E314" s="20"/>
      <c r="F314" s="20"/>
    </row>
    <row r="315">
      <c r="A315" s="28"/>
      <c r="B315" s="93"/>
      <c r="C315" s="114"/>
      <c r="D315" s="114"/>
      <c r="E315" s="20"/>
      <c r="F315" s="20"/>
    </row>
    <row r="316">
      <c r="A316" s="28"/>
      <c r="B316" s="93"/>
      <c r="C316" s="114"/>
      <c r="D316" s="114"/>
      <c r="E316" s="20"/>
      <c r="F316" s="20"/>
    </row>
    <row r="317">
      <c r="A317" s="28"/>
      <c r="B317" s="93"/>
      <c r="C317" s="114"/>
      <c r="D317" s="114"/>
      <c r="E317" s="20"/>
      <c r="F317" s="20"/>
    </row>
    <row r="318">
      <c r="A318" s="28"/>
      <c r="B318" s="93"/>
      <c r="C318" s="114"/>
      <c r="D318" s="114"/>
      <c r="E318" s="20"/>
      <c r="F318" s="20"/>
    </row>
    <row r="319">
      <c r="A319" s="28"/>
      <c r="B319" s="93"/>
      <c r="C319" s="114"/>
      <c r="D319" s="114"/>
      <c r="E319" s="20"/>
      <c r="F319" s="20"/>
    </row>
    <row r="320">
      <c r="A320" s="28"/>
      <c r="B320" s="93"/>
      <c r="C320" s="114"/>
      <c r="D320" s="114"/>
      <c r="E320" s="20"/>
      <c r="F320" s="20"/>
    </row>
    <row r="321">
      <c r="A321" s="28"/>
      <c r="B321" s="93"/>
      <c r="C321" s="114"/>
      <c r="D321" s="114"/>
      <c r="E321" s="20"/>
      <c r="F321" s="20"/>
    </row>
    <row r="322">
      <c r="A322" s="28"/>
      <c r="B322" s="93"/>
      <c r="C322" s="114"/>
      <c r="D322" s="114"/>
      <c r="E322" s="20"/>
      <c r="F322" s="20"/>
    </row>
    <row r="323">
      <c r="A323" s="28"/>
      <c r="B323" s="93"/>
      <c r="C323" s="114"/>
      <c r="D323" s="114"/>
      <c r="E323" s="20"/>
      <c r="F323" s="20"/>
    </row>
    <row r="324">
      <c r="A324" s="28"/>
      <c r="B324" s="93"/>
      <c r="C324" s="114"/>
      <c r="D324" s="114"/>
      <c r="E324" s="20"/>
      <c r="F324" s="20"/>
    </row>
    <row r="325">
      <c r="A325" s="28"/>
      <c r="B325" s="93"/>
      <c r="C325" s="114"/>
      <c r="D325" s="114"/>
      <c r="E325" s="20"/>
      <c r="F325" s="20"/>
    </row>
    <row r="326">
      <c r="A326" s="28"/>
      <c r="B326" s="93"/>
      <c r="C326" s="114"/>
      <c r="D326" s="114"/>
      <c r="E326" s="20"/>
      <c r="F326" s="20"/>
    </row>
    <row r="327">
      <c r="A327" s="28"/>
      <c r="B327" s="93"/>
      <c r="C327" s="114"/>
      <c r="D327" s="114"/>
      <c r="E327" s="20"/>
      <c r="F327" s="20"/>
    </row>
    <row r="328">
      <c r="A328" s="28"/>
      <c r="B328" s="93"/>
      <c r="C328" s="114"/>
      <c r="D328" s="114"/>
      <c r="E328" s="20"/>
      <c r="F328" s="20"/>
    </row>
    <row r="329">
      <c r="A329" s="28"/>
      <c r="B329" s="93"/>
      <c r="C329" s="114"/>
      <c r="D329" s="114"/>
      <c r="E329" s="20"/>
      <c r="F329" s="20"/>
    </row>
    <row r="330">
      <c r="A330" s="28"/>
      <c r="B330" s="93"/>
      <c r="C330" s="114"/>
      <c r="D330" s="114"/>
      <c r="E330" s="20"/>
      <c r="F330" s="20"/>
    </row>
    <row r="331">
      <c r="A331" s="28"/>
      <c r="B331" s="93"/>
      <c r="C331" s="114"/>
      <c r="D331" s="114"/>
      <c r="E331" s="20"/>
      <c r="F331" s="20"/>
    </row>
    <row r="332">
      <c r="A332" s="28"/>
      <c r="B332" s="93"/>
      <c r="C332" s="114"/>
      <c r="D332" s="114"/>
      <c r="E332" s="20"/>
      <c r="F332" s="20"/>
    </row>
    <row r="333">
      <c r="A333" s="28"/>
      <c r="B333" s="93"/>
      <c r="C333" s="114"/>
      <c r="D333" s="114"/>
      <c r="E333" s="20"/>
      <c r="F333" s="20"/>
    </row>
    <row r="334">
      <c r="A334" s="28"/>
      <c r="B334" s="93"/>
      <c r="C334" s="114"/>
      <c r="D334" s="114"/>
      <c r="E334" s="20"/>
      <c r="F334" s="20"/>
    </row>
    <row r="335">
      <c r="A335" s="28"/>
      <c r="B335" s="93"/>
      <c r="C335" s="114"/>
      <c r="D335" s="114"/>
      <c r="E335" s="20"/>
      <c r="F335" s="20"/>
    </row>
    <row r="336">
      <c r="A336" s="28"/>
      <c r="B336" s="93"/>
      <c r="C336" s="114"/>
      <c r="D336" s="114"/>
      <c r="E336" s="20"/>
      <c r="F336" s="20"/>
    </row>
    <row r="337">
      <c r="A337" s="28"/>
      <c r="B337" s="93"/>
      <c r="C337" s="114"/>
      <c r="D337" s="114"/>
      <c r="E337" s="20"/>
      <c r="F337" s="20"/>
    </row>
    <row r="338">
      <c r="A338" s="28"/>
      <c r="B338" s="93"/>
      <c r="C338" s="114"/>
      <c r="D338" s="114"/>
      <c r="E338" s="20"/>
      <c r="F338" s="20"/>
    </row>
    <row r="339">
      <c r="A339" s="28"/>
      <c r="B339" s="93"/>
      <c r="C339" s="114"/>
      <c r="D339" s="114"/>
      <c r="E339" s="20"/>
      <c r="F339" s="20"/>
    </row>
    <row r="340">
      <c r="A340" s="28"/>
      <c r="B340" s="93"/>
      <c r="C340" s="114"/>
      <c r="D340" s="114"/>
      <c r="E340" s="20"/>
      <c r="F340" s="20"/>
    </row>
    <row r="341">
      <c r="A341" s="28"/>
      <c r="B341" s="93"/>
      <c r="C341" s="114"/>
      <c r="D341" s="114"/>
      <c r="E341" s="20"/>
      <c r="F341" s="20"/>
    </row>
    <row r="342">
      <c r="A342" s="28"/>
      <c r="B342" s="93"/>
      <c r="C342" s="114"/>
      <c r="D342" s="114"/>
      <c r="E342" s="20"/>
      <c r="F342" s="20"/>
    </row>
    <row r="343">
      <c r="A343" s="28"/>
      <c r="B343" s="93"/>
      <c r="C343" s="114"/>
      <c r="D343" s="114"/>
      <c r="E343" s="20"/>
      <c r="F343" s="20"/>
    </row>
    <row r="344">
      <c r="A344" s="28"/>
      <c r="B344" s="93"/>
      <c r="C344" s="114"/>
      <c r="D344" s="114"/>
      <c r="E344" s="20"/>
      <c r="F344" s="20"/>
    </row>
    <row r="345">
      <c r="A345" s="28"/>
      <c r="B345" s="93"/>
      <c r="C345" s="114"/>
      <c r="D345" s="114"/>
      <c r="E345" s="20"/>
      <c r="F345" s="20"/>
    </row>
    <row r="346">
      <c r="A346" s="28"/>
      <c r="B346" s="93"/>
      <c r="C346" s="114"/>
      <c r="D346" s="114"/>
      <c r="E346" s="20"/>
      <c r="F346" s="20"/>
    </row>
    <row r="347">
      <c r="A347" s="28"/>
      <c r="B347" s="93"/>
      <c r="C347" s="114"/>
      <c r="D347" s="114"/>
      <c r="E347" s="20"/>
      <c r="F347" s="20"/>
    </row>
    <row r="348">
      <c r="A348" s="28"/>
      <c r="B348" s="93"/>
      <c r="C348" s="114"/>
      <c r="D348" s="114"/>
      <c r="E348" s="20"/>
      <c r="F348" s="20"/>
    </row>
    <row r="349">
      <c r="A349" s="28"/>
      <c r="B349" s="93"/>
      <c r="C349" s="114"/>
      <c r="D349" s="114"/>
      <c r="E349" s="20"/>
      <c r="F349" s="20"/>
    </row>
    <row r="350">
      <c r="A350" s="28"/>
      <c r="B350" s="93"/>
      <c r="C350" s="114"/>
      <c r="D350" s="114"/>
      <c r="E350" s="20"/>
      <c r="F350" s="20"/>
    </row>
    <row r="351">
      <c r="A351" s="28"/>
      <c r="B351" s="93"/>
      <c r="C351" s="114"/>
      <c r="D351" s="114"/>
      <c r="E351" s="20"/>
      <c r="F351" s="20"/>
    </row>
    <row r="352">
      <c r="A352" s="28"/>
      <c r="B352" s="93"/>
      <c r="C352" s="114"/>
      <c r="D352" s="114"/>
      <c r="E352" s="20"/>
      <c r="F352" s="20"/>
    </row>
    <row r="353">
      <c r="A353" s="28"/>
      <c r="B353" s="93"/>
      <c r="C353" s="114"/>
      <c r="D353" s="114"/>
      <c r="E353" s="20"/>
      <c r="F353" s="20"/>
    </row>
    <row r="354">
      <c r="A354" s="28"/>
      <c r="B354" s="93"/>
      <c r="C354" s="114"/>
      <c r="D354" s="114"/>
      <c r="E354" s="20"/>
      <c r="F354" s="20"/>
    </row>
    <row r="355">
      <c r="A355" s="28"/>
      <c r="B355" s="93"/>
      <c r="C355" s="114"/>
      <c r="D355" s="114"/>
      <c r="E355" s="20"/>
      <c r="F355" s="20"/>
    </row>
    <row r="356">
      <c r="A356" s="28"/>
      <c r="B356" s="93"/>
      <c r="C356" s="114"/>
      <c r="D356" s="114"/>
      <c r="E356" s="20"/>
      <c r="F356" s="20"/>
    </row>
    <row r="357">
      <c r="A357" s="28"/>
      <c r="B357" s="93"/>
      <c r="C357" s="114"/>
      <c r="D357" s="114"/>
      <c r="E357" s="20"/>
      <c r="F357" s="20"/>
    </row>
    <row r="358">
      <c r="A358" s="28"/>
      <c r="B358" s="93"/>
      <c r="C358" s="114"/>
      <c r="D358" s="114"/>
      <c r="E358" s="20"/>
      <c r="F358" s="20"/>
    </row>
    <row r="359">
      <c r="A359" s="28"/>
      <c r="B359" s="93"/>
      <c r="C359" s="114"/>
      <c r="D359" s="114"/>
      <c r="E359" s="20"/>
      <c r="F359" s="20"/>
    </row>
    <row r="360">
      <c r="A360" s="28"/>
      <c r="B360" s="93"/>
      <c r="C360" s="114"/>
      <c r="D360" s="114"/>
      <c r="E360" s="20"/>
      <c r="F360" s="20"/>
    </row>
    <row r="361">
      <c r="A361" s="28"/>
      <c r="B361" s="93"/>
      <c r="C361" s="114"/>
      <c r="D361" s="114"/>
      <c r="E361" s="20"/>
      <c r="F361" s="20"/>
    </row>
    <row r="362">
      <c r="A362" s="28"/>
      <c r="B362" s="93"/>
      <c r="C362" s="114"/>
      <c r="D362" s="114"/>
      <c r="E362" s="20"/>
      <c r="F362" s="20"/>
    </row>
    <row r="363">
      <c r="A363" s="28"/>
      <c r="B363" s="93"/>
      <c r="C363" s="114"/>
      <c r="D363" s="114"/>
      <c r="E363" s="20"/>
      <c r="F363" s="20"/>
    </row>
    <row r="364">
      <c r="A364" s="28"/>
      <c r="B364" s="93"/>
      <c r="C364" s="114"/>
      <c r="D364" s="114"/>
      <c r="E364" s="20"/>
      <c r="F364" s="20"/>
    </row>
    <row r="365">
      <c r="A365" s="28"/>
      <c r="B365" s="93"/>
      <c r="C365" s="114"/>
      <c r="D365" s="114"/>
      <c r="E365" s="20"/>
      <c r="F365" s="20"/>
    </row>
    <row r="366">
      <c r="A366" s="28"/>
      <c r="B366" s="93"/>
      <c r="C366" s="114"/>
      <c r="D366" s="114"/>
      <c r="E366" s="20"/>
      <c r="F366" s="20"/>
    </row>
    <row r="367">
      <c r="A367" s="28"/>
      <c r="B367" s="93"/>
      <c r="C367" s="114"/>
      <c r="D367" s="114"/>
      <c r="E367" s="20"/>
      <c r="F367" s="20"/>
    </row>
    <row r="368">
      <c r="A368" s="28"/>
      <c r="B368" s="93"/>
      <c r="C368" s="114"/>
      <c r="D368" s="114"/>
      <c r="E368" s="20"/>
      <c r="F368" s="20"/>
    </row>
    <row r="369">
      <c r="A369" s="28"/>
      <c r="B369" s="93"/>
      <c r="C369" s="114"/>
      <c r="D369" s="114"/>
      <c r="E369" s="20"/>
      <c r="F369" s="20"/>
    </row>
    <row r="370">
      <c r="A370" s="28"/>
      <c r="B370" s="93"/>
      <c r="C370" s="114"/>
      <c r="D370" s="114"/>
      <c r="E370" s="20"/>
      <c r="F370" s="20"/>
    </row>
    <row r="371">
      <c r="A371" s="28"/>
      <c r="B371" s="93"/>
      <c r="C371" s="114"/>
      <c r="D371" s="114"/>
      <c r="E371" s="20"/>
      <c r="F371" s="20"/>
    </row>
    <row r="372">
      <c r="A372" s="28"/>
      <c r="B372" s="93"/>
      <c r="C372" s="114"/>
      <c r="D372" s="114"/>
      <c r="E372" s="20"/>
      <c r="F372" s="20"/>
    </row>
    <row r="373">
      <c r="A373" s="28"/>
      <c r="B373" s="93"/>
      <c r="C373" s="114"/>
      <c r="D373" s="114"/>
      <c r="E373" s="20"/>
      <c r="F373" s="20"/>
    </row>
    <row r="374">
      <c r="A374" s="28"/>
      <c r="B374" s="93"/>
      <c r="C374" s="114"/>
      <c r="D374" s="114"/>
      <c r="E374" s="20"/>
      <c r="F374" s="20"/>
    </row>
    <row r="375">
      <c r="A375" s="28"/>
      <c r="B375" s="93"/>
      <c r="C375" s="114"/>
      <c r="D375" s="114"/>
      <c r="E375" s="20"/>
      <c r="F375" s="20"/>
    </row>
    <row r="376">
      <c r="A376" s="28"/>
      <c r="B376" s="93"/>
      <c r="C376" s="114"/>
      <c r="D376" s="114"/>
      <c r="E376" s="20"/>
      <c r="F376" s="20"/>
    </row>
    <row r="377">
      <c r="A377" s="28"/>
      <c r="B377" s="93"/>
      <c r="C377" s="114"/>
      <c r="D377" s="114"/>
      <c r="E377" s="20"/>
      <c r="F377" s="20"/>
    </row>
    <row r="378">
      <c r="A378" s="28"/>
      <c r="B378" s="93"/>
      <c r="C378" s="114"/>
      <c r="D378" s="114"/>
      <c r="E378" s="20"/>
      <c r="F378" s="20"/>
    </row>
    <row r="379">
      <c r="A379" s="28"/>
      <c r="B379" s="93"/>
      <c r="C379" s="114"/>
      <c r="D379" s="114"/>
      <c r="E379" s="20"/>
      <c r="F379" s="20"/>
    </row>
    <row r="380">
      <c r="A380" s="28"/>
      <c r="B380" s="93"/>
      <c r="C380" s="114"/>
      <c r="D380" s="114"/>
      <c r="E380" s="20"/>
      <c r="F380" s="20"/>
    </row>
    <row r="381">
      <c r="A381" s="28"/>
      <c r="B381" s="93"/>
      <c r="C381" s="114"/>
      <c r="D381" s="114"/>
      <c r="E381" s="20"/>
      <c r="F381" s="20"/>
    </row>
    <row r="382">
      <c r="A382" s="28"/>
      <c r="B382" s="93"/>
      <c r="C382" s="114"/>
      <c r="D382" s="114"/>
      <c r="E382" s="20"/>
      <c r="F382" s="20"/>
    </row>
    <row r="383">
      <c r="A383" s="28"/>
      <c r="B383" s="93"/>
      <c r="C383" s="114"/>
      <c r="D383" s="114"/>
      <c r="E383" s="20"/>
      <c r="F383" s="20"/>
    </row>
    <row r="384">
      <c r="A384" s="28"/>
      <c r="B384" s="93"/>
      <c r="C384" s="114"/>
      <c r="D384" s="114"/>
      <c r="E384" s="20"/>
      <c r="F384" s="20"/>
    </row>
    <row r="385">
      <c r="A385" s="28"/>
      <c r="B385" s="93"/>
      <c r="C385" s="114"/>
      <c r="D385" s="114"/>
      <c r="E385" s="20"/>
      <c r="F385" s="20"/>
    </row>
    <row r="386">
      <c r="A386" s="28"/>
      <c r="B386" s="93"/>
      <c r="C386" s="114"/>
      <c r="D386" s="114"/>
      <c r="E386" s="20"/>
      <c r="F386" s="20"/>
    </row>
    <row r="387">
      <c r="A387" s="28"/>
      <c r="B387" s="93"/>
      <c r="C387" s="114"/>
      <c r="D387" s="114"/>
      <c r="E387" s="20"/>
      <c r="F387" s="20"/>
    </row>
    <row r="388">
      <c r="A388" s="28"/>
      <c r="B388" s="93"/>
      <c r="C388" s="114"/>
      <c r="D388" s="114"/>
      <c r="E388" s="20"/>
      <c r="F388" s="20"/>
    </row>
    <row r="389">
      <c r="A389" s="28"/>
      <c r="B389" s="93"/>
      <c r="C389" s="114"/>
      <c r="D389" s="114"/>
      <c r="E389" s="20"/>
      <c r="F389" s="20"/>
    </row>
    <row r="390">
      <c r="A390" s="28"/>
      <c r="B390" s="93"/>
      <c r="C390" s="114"/>
      <c r="D390" s="114"/>
      <c r="E390" s="20"/>
      <c r="F390" s="20"/>
    </row>
    <row r="391">
      <c r="A391" s="28"/>
      <c r="B391" s="93"/>
      <c r="C391" s="114"/>
      <c r="D391" s="114"/>
      <c r="E391" s="20"/>
      <c r="F391" s="20"/>
    </row>
    <row r="392">
      <c r="A392" s="28"/>
      <c r="B392" s="93"/>
      <c r="C392" s="114"/>
      <c r="D392" s="114"/>
      <c r="E392" s="20"/>
      <c r="F392" s="20"/>
    </row>
    <row r="393">
      <c r="A393" s="28"/>
      <c r="B393" s="93"/>
      <c r="C393" s="114"/>
      <c r="D393" s="114"/>
      <c r="E393" s="20"/>
      <c r="F393" s="20"/>
    </row>
    <row r="394">
      <c r="A394" s="28"/>
      <c r="B394" s="93"/>
      <c r="C394" s="114"/>
      <c r="D394" s="114"/>
      <c r="E394" s="20"/>
      <c r="F394" s="20"/>
    </row>
    <row r="395">
      <c r="A395" s="28"/>
      <c r="B395" s="93"/>
      <c r="C395" s="114"/>
      <c r="D395" s="114"/>
      <c r="E395" s="20"/>
      <c r="F395" s="20"/>
    </row>
    <row r="396">
      <c r="A396" s="28"/>
      <c r="B396" s="93"/>
      <c r="C396" s="114"/>
      <c r="D396" s="114"/>
      <c r="E396" s="20"/>
      <c r="F396" s="20"/>
    </row>
    <row r="397">
      <c r="A397" s="28"/>
      <c r="B397" s="93"/>
      <c r="C397" s="114"/>
      <c r="D397" s="114"/>
      <c r="E397" s="20"/>
      <c r="F397" s="20"/>
    </row>
    <row r="398">
      <c r="A398" s="28"/>
      <c r="B398" s="93"/>
      <c r="C398" s="114"/>
      <c r="D398" s="114"/>
      <c r="E398" s="20"/>
      <c r="F398" s="20"/>
    </row>
    <row r="399">
      <c r="A399" s="28"/>
      <c r="B399" s="93"/>
      <c r="C399" s="114"/>
      <c r="D399" s="114"/>
      <c r="E399" s="20"/>
      <c r="F399" s="20"/>
    </row>
    <row r="400">
      <c r="A400" s="28"/>
      <c r="B400" s="93"/>
      <c r="C400" s="114"/>
      <c r="D400" s="114"/>
      <c r="E400" s="20"/>
      <c r="F400" s="20"/>
    </row>
    <row r="401">
      <c r="A401" s="28"/>
      <c r="B401" s="93"/>
      <c r="C401" s="114"/>
      <c r="D401" s="114"/>
      <c r="E401" s="20"/>
      <c r="F401" s="20"/>
    </row>
    <row r="402">
      <c r="A402" s="28"/>
      <c r="B402" s="93"/>
      <c r="C402" s="114"/>
      <c r="D402" s="114"/>
      <c r="E402" s="20"/>
      <c r="F402" s="20"/>
    </row>
    <row r="403">
      <c r="A403" s="28"/>
      <c r="B403" s="93"/>
      <c r="C403" s="114"/>
      <c r="D403" s="114"/>
      <c r="E403" s="20"/>
      <c r="F403" s="20"/>
    </row>
    <row r="404">
      <c r="A404" s="28"/>
      <c r="B404" s="93"/>
      <c r="C404" s="114"/>
      <c r="D404" s="114"/>
      <c r="E404" s="20"/>
      <c r="F404" s="20"/>
    </row>
    <row r="405">
      <c r="A405" s="28"/>
      <c r="B405" s="93"/>
      <c r="C405" s="114"/>
      <c r="D405" s="114"/>
      <c r="E405" s="20"/>
      <c r="F405" s="20"/>
    </row>
    <row r="406">
      <c r="A406" s="28"/>
      <c r="B406" s="93"/>
      <c r="C406" s="114"/>
      <c r="D406" s="114"/>
      <c r="E406" s="20"/>
      <c r="F406" s="20"/>
    </row>
    <row r="407">
      <c r="A407" s="28"/>
      <c r="B407" s="93"/>
      <c r="C407" s="114"/>
      <c r="D407" s="114"/>
      <c r="E407" s="20"/>
      <c r="F407" s="20"/>
    </row>
    <row r="408">
      <c r="A408" s="28"/>
      <c r="B408" s="93"/>
      <c r="C408" s="114"/>
      <c r="D408" s="114"/>
      <c r="E408" s="20"/>
      <c r="F408" s="20"/>
    </row>
    <row r="409">
      <c r="A409" s="28"/>
      <c r="B409" s="93"/>
      <c r="C409" s="114"/>
      <c r="D409" s="114"/>
      <c r="E409" s="20"/>
      <c r="F409" s="20"/>
    </row>
    <row r="410">
      <c r="A410" s="28"/>
      <c r="B410" s="93"/>
      <c r="C410" s="114"/>
      <c r="D410" s="114"/>
      <c r="E410" s="20"/>
      <c r="F410" s="20"/>
    </row>
    <row r="411">
      <c r="A411" s="28"/>
      <c r="B411" s="93"/>
      <c r="C411" s="114"/>
      <c r="D411" s="114"/>
      <c r="E411" s="20"/>
      <c r="F411" s="20"/>
    </row>
    <row r="412">
      <c r="A412" s="28"/>
      <c r="B412" s="93"/>
      <c r="C412" s="114"/>
      <c r="D412" s="114"/>
      <c r="E412" s="20"/>
      <c r="F412" s="20"/>
    </row>
    <row r="413">
      <c r="A413" s="28"/>
      <c r="B413" s="93"/>
      <c r="C413" s="114"/>
      <c r="D413" s="114"/>
      <c r="E413" s="20"/>
      <c r="F413" s="20"/>
    </row>
    <row r="414">
      <c r="A414" s="28"/>
      <c r="B414" s="93"/>
      <c r="C414" s="114"/>
      <c r="D414" s="114"/>
      <c r="E414" s="20"/>
      <c r="F414" s="20"/>
    </row>
    <row r="415">
      <c r="A415" s="28"/>
      <c r="B415" s="93"/>
      <c r="C415" s="114"/>
      <c r="D415" s="114"/>
      <c r="E415" s="20"/>
      <c r="F415" s="20"/>
    </row>
    <row r="416">
      <c r="A416" s="28"/>
      <c r="B416" s="93"/>
      <c r="C416" s="114"/>
      <c r="D416" s="114"/>
      <c r="E416" s="20"/>
      <c r="F416" s="20"/>
    </row>
    <row r="417">
      <c r="A417" s="28"/>
      <c r="B417" s="93"/>
      <c r="C417" s="114"/>
      <c r="D417" s="114"/>
      <c r="E417" s="20"/>
      <c r="F417" s="20"/>
    </row>
    <row r="418">
      <c r="A418" s="28"/>
      <c r="B418" s="93"/>
      <c r="C418" s="114"/>
      <c r="D418" s="114"/>
      <c r="E418" s="20"/>
      <c r="F418" s="20"/>
    </row>
    <row r="419">
      <c r="A419" s="28"/>
      <c r="B419" s="93"/>
      <c r="C419" s="114"/>
      <c r="D419" s="114"/>
      <c r="E419" s="20"/>
      <c r="F419" s="20"/>
    </row>
    <row r="420">
      <c r="A420" s="28"/>
      <c r="B420" s="93"/>
      <c r="C420" s="114"/>
      <c r="D420" s="114"/>
      <c r="E420" s="20"/>
      <c r="F420" s="20"/>
    </row>
    <row r="421">
      <c r="A421" s="28"/>
      <c r="B421" s="93"/>
      <c r="C421" s="114"/>
      <c r="D421" s="114"/>
      <c r="E421" s="20"/>
      <c r="F421" s="20"/>
    </row>
    <row r="422">
      <c r="A422" s="28"/>
      <c r="B422" s="93"/>
      <c r="C422" s="114"/>
      <c r="D422" s="114"/>
      <c r="E422" s="20"/>
      <c r="F422" s="20"/>
    </row>
    <row r="423">
      <c r="A423" s="28"/>
      <c r="B423" s="93"/>
      <c r="C423" s="114"/>
      <c r="D423" s="114"/>
      <c r="E423" s="20"/>
      <c r="F423" s="20"/>
    </row>
    <row r="424">
      <c r="A424" s="28"/>
      <c r="B424" s="93"/>
      <c r="C424" s="114"/>
      <c r="D424" s="114"/>
      <c r="E424" s="20"/>
      <c r="F424" s="20"/>
    </row>
    <row r="425">
      <c r="A425" s="28"/>
      <c r="B425" s="93"/>
      <c r="C425" s="114"/>
      <c r="D425" s="114"/>
      <c r="E425" s="20"/>
      <c r="F425" s="20"/>
    </row>
    <row r="426">
      <c r="A426" s="28"/>
      <c r="B426" s="93"/>
      <c r="C426" s="114"/>
      <c r="D426" s="114"/>
      <c r="E426" s="20"/>
      <c r="F426" s="20"/>
    </row>
    <row r="427">
      <c r="A427" s="28"/>
      <c r="B427" s="93"/>
      <c r="C427" s="114"/>
      <c r="D427" s="114"/>
      <c r="E427" s="20"/>
      <c r="F427" s="20"/>
    </row>
    <row r="428">
      <c r="A428" s="28"/>
      <c r="B428" s="93"/>
      <c r="C428" s="114"/>
      <c r="D428" s="114"/>
      <c r="E428" s="20"/>
      <c r="F428" s="20"/>
    </row>
    <row r="429">
      <c r="A429" s="28"/>
      <c r="B429" s="93"/>
      <c r="C429" s="114"/>
      <c r="D429" s="114"/>
      <c r="E429" s="20"/>
      <c r="F429" s="20"/>
    </row>
    <row r="430">
      <c r="A430" s="28"/>
      <c r="B430" s="93"/>
      <c r="C430" s="114"/>
      <c r="D430" s="114"/>
      <c r="E430" s="20"/>
      <c r="F430" s="20"/>
    </row>
    <row r="431">
      <c r="A431" s="28"/>
      <c r="B431" s="93"/>
      <c r="C431" s="114"/>
      <c r="D431" s="114"/>
      <c r="E431" s="20"/>
      <c r="F431" s="20"/>
    </row>
    <row r="432">
      <c r="A432" s="28"/>
      <c r="B432" s="93"/>
      <c r="C432" s="114"/>
      <c r="D432" s="114"/>
      <c r="E432" s="20"/>
      <c r="F432" s="20"/>
    </row>
    <row r="433">
      <c r="A433" s="28"/>
      <c r="B433" s="93"/>
      <c r="C433" s="114"/>
      <c r="D433" s="114"/>
      <c r="E433" s="20"/>
      <c r="F433" s="20"/>
    </row>
    <row r="434">
      <c r="A434" s="28"/>
      <c r="B434" s="93"/>
      <c r="C434" s="114"/>
      <c r="D434" s="114"/>
      <c r="E434" s="20"/>
      <c r="F434" s="20"/>
    </row>
    <row r="435">
      <c r="A435" s="28"/>
      <c r="B435" s="93"/>
      <c r="C435" s="114"/>
      <c r="D435" s="114"/>
      <c r="E435" s="20"/>
      <c r="F435" s="20"/>
    </row>
    <row r="436">
      <c r="A436" s="28"/>
      <c r="B436" s="93"/>
      <c r="C436" s="114"/>
      <c r="D436" s="114"/>
      <c r="E436" s="20"/>
      <c r="F436" s="20"/>
    </row>
    <row r="437">
      <c r="A437" s="28"/>
      <c r="B437" s="93"/>
      <c r="C437" s="114"/>
      <c r="D437" s="114"/>
      <c r="E437" s="20"/>
      <c r="F437" s="20"/>
    </row>
    <row r="438">
      <c r="A438" s="28"/>
      <c r="B438" s="93"/>
      <c r="C438" s="114"/>
      <c r="D438" s="114"/>
      <c r="E438" s="20"/>
      <c r="F438" s="20"/>
    </row>
    <row r="439">
      <c r="A439" s="28"/>
      <c r="B439" s="93"/>
      <c r="C439" s="114"/>
      <c r="D439" s="114"/>
      <c r="E439" s="20"/>
      <c r="F439" s="20"/>
    </row>
    <row r="440">
      <c r="A440" s="28"/>
      <c r="B440" s="93"/>
      <c r="C440" s="114"/>
      <c r="D440" s="114"/>
      <c r="E440" s="20"/>
      <c r="F440" s="20"/>
    </row>
    <row r="441">
      <c r="A441" s="28"/>
      <c r="B441" s="93"/>
      <c r="C441" s="114"/>
      <c r="D441" s="114"/>
      <c r="E441" s="20"/>
      <c r="F441" s="20"/>
    </row>
    <row r="442">
      <c r="A442" s="28"/>
      <c r="B442" s="93"/>
      <c r="C442" s="114"/>
      <c r="D442" s="114"/>
      <c r="E442" s="20"/>
      <c r="F442" s="20"/>
    </row>
    <row r="443">
      <c r="A443" s="28"/>
      <c r="B443" s="93"/>
      <c r="C443" s="114"/>
      <c r="D443" s="114"/>
      <c r="E443" s="20"/>
      <c r="F443" s="20"/>
    </row>
    <row r="444">
      <c r="A444" s="28"/>
      <c r="B444" s="93"/>
      <c r="C444" s="114"/>
      <c r="D444" s="114"/>
      <c r="E444" s="20"/>
      <c r="F444" s="20"/>
    </row>
    <row r="445">
      <c r="A445" s="28"/>
      <c r="B445" s="93"/>
      <c r="C445" s="114"/>
      <c r="D445" s="114"/>
      <c r="E445" s="20"/>
      <c r="F445" s="20"/>
    </row>
    <row r="446">
      <c r="A446" s="28"/>
      <c r="B446" s="93"/>
      <c r="C446" s="114"/>
      <c r="D446" s="114"/>
      <c r="E446" s="20"/>
      <c r="F446" s="20"/>
    </row>
    <row r="447">
      <c r="A447" s="28"/>
      <c r="B447" s="93"/>
      <c r="C447" s="114"/>
      <c r="D447" s="114"/>
      <c r="E447" s="20"/>
      <c r="F447" s="20"/>
    </row>
    <row r="448">
      <c r="A448" s="28"/>
      <c r="B448" s="93"/>
      <c r="C448" s="114"/>
      <c r="D448" s="114"/>
      <c r="E448" s="20"/>
      <c r="F448" s="20"/>
    </row>
    <row r="449">
      <c r="A449" s="28"/>
      <c r="B449" s="93"/>
      <c r="C449" s="114"/>
      <c r="D449" s="114"/>
      <c r="E449" s="20"/>
      <c r="F449" s="20"/>
    </row>
    <row r="450">
      <c r="A450" s="28"/>
      <c r="B450" s="93"/>
      <c r="C450" s="114"/>
      <c r="D450" s="114"/>
      <c r="E450" s="20"/>
      <c r="F450" s="20"/>
    </row>
    <row r="451">
      <c r="A451" s="28"/>
      <c r="B451" s="93"/>
      <c r="C451" s="114"/>
      <c r="D451" s="114"/>
      <c r="E451" s="20"/>
      <c r="F451" s="20"/>
    </row>
    <row r="452">
      <c r="A452" s="28"/>
      <c r="B452" s="93"/>
      <c r="C452" s="114"/>
      <c r="D452" s="114"/>
      <c r="E452" s="20"/>
      <c r="F452" s="20"/>
    </row>
    <row r="453">
      <c r="A453" s="28"/>
      <c r="B453" s="93"/>
      <c r="C453" s="114"/>
      <c r="D453" s="114"/>
      <c r="E453" s="20"/>
      <c r="F453" s="20"/>
    </row>
    <row r="454">
      <c r="A454" s="28"/>
      <c r="B454" s="93"/>
      <c r="C454" s="114"/>
      <c r="D454" s="114"/>
      <c r="E454" s="20"/>
      <c r="F454" s="20"/>
    </row>
    <row r="455">
      <c r="A455" s="28"/>
      <c r="B455" s="93"/>
      <c r="C455" s="114"/>
      <c r="D455" s="114"/>
      <c r="E455" s="20"/>
      <c r="F455" s="20"/>
    </row>
    <row r="456">
      <c r="A456" s="28"/>
      <c r="B456" s="93"/>
      <c r="C456" s="114"/>
      <c r="D456" s="114"/>
      <c r="E456" s="20"/>
      <c r="F456" s="20"/>
    </row>
    <row r="457">
      <c r="A457" s="28"/>
      <c r="B457" s="93"/>
      <c r="C457" s="114"/>
      <c r="D457" s="114"/>
      <c r="E457" s="20"/>
      <c r="F457" s="20"/>
    </row>
    <row r="458">
      <c r="A458" s="28"/>
      <c r="B458" s="93"/>
      <c r="C458" s="114"/>
      <c r="D458" s="114"/>
      <c r="E458" s="20"/>
      <c r="F458" s="20"/>
    </row>
    <row r="459">
      <c r="A459" s="28"/>
      <c r="B459" s="93"/>
      <c r="C459" s="114"/>
      <c r="D459" s="114"/>
      <c r="E459" s="20"/>
      <c r="F459" s="20"/>
    </row>
    <row r="460">
      <c r="A460" s="28"/>
      <c r="B460" s="93"/>
      <c r="C460" s="114"/>
      <c r="D460" s="114"/>
      <c r="E460" s="20"/>
      <c r="F460" s="20"/>
    </row>
    <row r="461">
      <c r="A461" s="28"/>
      <c r="B461" s="93"/>
      <c r="C461" s="114"/>
      <c r="D461" s="114"/>
      <c r="E461" s="20"/>
      <c r="F461" s="20"/>
    </row>
    <row r="462">
      <c r="A462" s="28"/>
      <c r="B462" s="93"/>
      <c r="C462" s="114"/>
      <c r="D462" s="114"/>
      <c r="E462" s="20"/>
      <c r="F462" s="20"/>
    </row>
    <row r="463">
      <c r="A463" s="28"/>
      <c r="B463" s="93"/>
      <c r="C463" s="114"/>
      <c r="D463" s="114"/>
      <c r="E463" s="20"/>
      <c r="F463" s="20"/>
    </row>
    <row r="464">
      <c r="A464" s="28"/>
      <c r="B464" s="93"/>
      <c r="C464" s="114"/>
      <c r="D464" s="114"/>
      <c r="E464" s="20"/>
      <c r="F464" s="20"/>
    </row>
    <row r="465">
      <c r="A465" s="28"/>
      <c r="B465" s="93"/>
      <c r="C465" s="114"/>
      <c r="D465" s="114"/>
      <c r="E465" s="20"/>
      <c r="F465" s="20"/>
    </row>
    <row r="466">
      <c r="A466" s="28"/>
      <c r="B466" s="93"/>
      <c r="C466" s="114"/>
      <c r="D466" s="114"/>
      <c r="E466" s="20"/>
      <c r="F466" s="20"/>
    </row>
    <row r="467">
      <c r="A467" s="28"/>
      <c r="B467" s="93"/>
      <c r="C467" s="114"/>
      <c r="D467" s="114"/>
      <c r="E467" s="20"/>
      <c r="F467" s="20"/>
    </row>
    <row r="468">
      <c r="A468" s="28"/>
      <c r="B468" s="93"/>
      <c r="C468" s="114"/>
      <c r="D468" s="114"/>
      <c r="E468" s="20"/>
      <c r="F468" s="20"/>
    </row>
    <row r="469">
      <c r="A469" s="28"/>
      <c r="B469" s="93"/>
      <c r="C469" s="114"/>
      <c r="D469" s="114"/>
      <c r="E469" s="20"/>
      <c r="F469" s="20"/>
    </row>
    <row r="470">
      <c r="A470" s="28"/>
      <c r="B470" s="93"/>
      <c r="C470" s="114"/>
      <c r="D470" s="114"/>
      <c r="E470" s="20"/>
      <c r="F470" s="20"/>
    </row>
    <row r="471">
      <c r="A471" s="28"/>
      <c r="B471" s="93"/>
      <c r="C471" s="114"/>
      <c r="D471" s="114"/>
      <c r="E471" s="20"/>
      <c r="F471" s="20"/>
    </row>
    <row r="472">
      <c r="A472" s="28"/>
      <c r="B472" s="93"/>
      <c r="C472" s="114"/>
      <c r="D472" s="114"/>
      <c r="E472" s="20"/>
      <c r="F472" s="20"/>
    </row>
    <row r="473">
      <c r="A473" s="28"/>
      <c r="B473" s="93"/>
      <c r="C473" s="114"/>
      <c r="D473" s="114"/>
      <c r="E473" s="20"/>
      <c r="F473" s="20"/>
    </row>
    <row r="474">
      <c r="A474" s="28"/>
      <c r="B474" s="93"/>
      <c r="C474" s="114"/>
      <c r="D474" s="114"/>
      <c r="E474" s="20"/>
      <c r="F474" s="20"/>
    </row>
    <row r="475">
      <c r="A475" s="28"/>
      <c r="B475" s="93"/>
      <c r="C475" s="114"/>
      <c r="D475" s="114"/>
      <c r="E475" s="20"/>
      <c r="F475" s="20"/>
    </row>
    <row r="476">
      <c r="A476" s="28"/>
      <c r="B476" s="93"/>
      <c r="C476" s="114"/>
      <c r="D476" s="114"/>
      <c r="E476" s="20"/>
      <c r="F476" s="20"/>
    </row>
    <row r="477">
      <c r="A477" s="28"/>
      <c r="B477" s="93"/>
      <c r="C477" s="114"/>
      <c r="D477" s="114"/>
      <c r="E477" s="20"/>
      <c r="F477" s="20"/>
    </row>
    <row r="478">
      <c r="A478" s="28"/>
      <c r="B478" s="93"/>
      <c r="C478" s="114"/>
      <c r="D478" s="114"/>
      <c r="E478" s="20"/>
      <c r="F478" s="20"/>
    </row>
    <row r="479">
      <c r="A479" s="28"/>
      <c r="B479" s="93"/>
      <c r="C479" s="114"/>
      <c r="D479" s="114"/>
      <c r="E479" s="20"/>
      <c r="F479" s="20"/>
    </row>
    <row r="480">
      <c r="A480" s="28"/>
      <c r="B480" s="93"/>
      <c r="C480" s="114"/>
      <c r="D480" s="114"/>
      <c r="E480" s="20"/>
      <c r="F480" s="20"/>
    </row>
    <row r="481">
      <c r="A481" s="28"/>
      <c r="B481" s="93"/>
      <c r="C481" s="114"/>
      <c r="D481" s="114"/>
      <c r="E481" s="20"/>
      <c r="F481" s="20"/>
    </row>
    <row r="482">
      <c r="A482" s="28"/>
      <c r="B482" s="93"/>
      <c r="C482" s="114"/>
      <c r="D482" s="114"/>
      <c r="E482" s="20"/>
      <c r="F482" s="20"/>
    </row>
    <row r="483">
      <c r="A483" s="28"/>
      <c r="B483" s="93"/>
      <c r="C483" s="114"/>
      <c r="D483" s="114"/>
      <c r="E483" s="20"/>
      <c r="F483" s="20"/>
    </row>
    <row r="484">
      <c r="A484" s="28"/>
      <c r="B484" s="93"/>
      <c r="C484" s="114"/>
      <c r="D484" s="114"/>
      <c r="E484" s="20"/>
      <c r="F484" s="20"/>
    </row>
    <row r="485">
      <c r="A485" s="28"/>
      <c r="B485" s="93"/>
      <c r="C485" s="114"/>
      <c r="D485" s="114"/>
      <c r="E485" s="20"/>
      <c r="F485" s="20"/>
    </row>
    <row r="486">
      <c r="A486" s="28"/>
      <c r="B486" s="93"/>
      <c r="C486" s="114"/>
      <c r="D486" s="114"/>
      <c r="E486" s="20"/>
      <c r="F486" s="20"/>
    </row>
    <row r="487">
      <c r="A487" s="28"/>
      <c r="B487" s="93"/>
      <c r="C487" s="114"/>
      <c r="D487" s="114"/>
      <c r="E487" s="20"/>
      <c r="F487" s="20"/>
    </row>
    <row r="488">
      <c r="A488" s="28"/>
      <c r="B488" s="93"/>
      <c r="C488" s="114"/>
      <c r="D488" s="114"/>
      <c r="E488" s="20"/>
      <c r="F488" s="20"/>
    </row>
    <row r="489">
      <c r="A489" s="28"/>
      <c r="B489" s="93"/>
      <c r="C489" s="114"/>
      <c r="D489" s="114"/>
      <c r="E489" s="20"/>
      <c r="F489" s="20"/>
    </row>
    <row r="490">
      <c r="A490" s="28"/>
      <c r="B490" s="93"/>
      <c r="C490" s="114"/>
      <c r="D490" s="114"/>
      <c r="E490" s="20"/>
      <c r="F490" s="20"/>
    </row>
    <row r="491">
      <c r="A491" s="28"/>
      <c r="B491" s="93"/>
      <c r="C491" s="114"/>
      <c r="D491" s="114"/>
      <c r="E491" s="20"/>
      <c r="F491" s="20"/>
    </row>
    <row r="492">
      <c r="A492" s="28"/>
      <c r="B492" s="93"/>
      <c r="C492" s="114"/>
      <c r="D492" s="114"/>
      <c r="E492" s="20"/>
      <c r="F492" s="20"/>
    </row>
    <row r="493">
      <c r="A493" s="28"/>
      <c r="B493" s="93"/>
      <c r="C493" s="114"/>
      <c r="D493" s="114"/>
      <c r="E493" s="20"/>
      <c r="F493" s="20"/>
    </row>
    <row r="494">
      <c r="A494" s="28"/>
      <c r="B494" s="93"/>
      <c r="C494" s="114"/>
      <c r="D494" s="114"/>
      <c r="E494" s="20"/>
      <c r="F494" s="20"/>
    </row>
    <row r="495">
      <c r="A495" s="28"/>
      <c r="B495" s="93"/>
      <c r="C495" s="114"/>
      <c r="D495" s="114"/>
      <c r="E495" s="20"/>
      <c r="F495" s="20"/>
    </row>
    <row r="496">
      <c r="A496" s="28"/>
      <c r="B496" s="93"/>
      <c r="C496" s="114"/>
      <c r="D496" s="114"/>
      <c r="E496" s="20"/>
      <c r="F496" s="20"/>
    </row>
    <row r="497">
      <c r="A497" s="28"/>
      <c r="B497" s="93"/>
      <c r="C497" s="114"/>
      <c r="D497" s="114"/>
      <c r="E497" s="20"/>
      <c r="F497" s="20"/>
    </row>
    <row r="498">
      <c r="A498" s="28"/>
      <c r="B498" s="93"/>
      <c r="C498" s="114"/>
      <c r="D498" s="114"/>
      <c r="E498" s="20"/>
      <c r="F498" s="20"/>
    </row>
    <row r="499">
      <c r="A499" s="28"/>
      <c r="B499" s="93"/>
      <c r="C499" s="114"/>
      <c r="D499" s="114"/>
      <c r="E499" s="20"/>
      <c r="F499" s="20"/>
    </row>
    <row r="500">
      <c r="A500" s="28"/>
      <c r="B500" s="93"/>
      <c r="C500" s="114"/>
      <c r="D500" s="114"/>
      <c r="E500" s="20"/>
      <c r="F500" s="20"/>
    </row>
    <row r="501">
      <c r="A501" s="28"/>
      <c r="B501" s="93"/>
      <c r="C501" s="114"/>
      <c r="D501" s="114"/>
      <c r="E501" s="20"/>
      <c r="F501" s="20"/>
    </row>
    <row r="502">
      <c r="A502" s="28"/>
      <c r="B502" s="93"/>
      <c r="C502" s="114"/>
      <c r="D502" s="114"/>
      <c r="E502" s="20"/>
      <c r="F502" s="20"/>
    </row>
    <row r="503">
      <c r="A503" s="28"/>
      <c r="B503" s="93"/>
      <c r="C503" s="114"/>
      <c r="D503" s="114"/>
      <c r="E503" s="20"/>
      <c r="F503" s="20"/>
    </row>
    <row r="504">
      <c r="A504" s="28"/>
      <c r="B504" s="93"/>
      <c r="C504" s="114"/>
      <c r="D504" s="114"/>
      <c r="E504" s="20"/>
      <c r="F504" s="20"/>
    </row>
    <row r="505">
      <c r="A505" s="28"/>
      <c r="B505" s="93"/>
      <c r="C505" s="114"/>
      <c r="D505" s="114"/>
      <c r="E505" s="20"/>
      <c r="F505" s="20"/>
    </row>
    <row r="506">
      <c r="A506" s="28"/>
      <c r="B506" s="93"/>
      <c r="C506" s="114"/>
      <c r="D506" s="114"/>
      <c r="E506" s="20"/>
      <c r="F506" s="20"/>
    </row>
    <row r="507">
      <c r="A507" s="28"/>
      <c r="B507" s="93"/>
      <c r="C507" s="114"/>
      <c r="D507" s="114"/>
      <c r="E507" s="20"/>
      <c r="F507" s="20"/>
    </row>
    <row r="508">
      <c r="A508" s="28"/>
      <c r="B508" s="93"/>
      <c r="C508" s="114"/>
      <c r="D508" s="114"/>
      <c r="E508" s="20"/>
      <c r="F508" s="20"/>
    </row>
    <row r="509">
      <c r="A509" s="28"/>
      <c r="B509" s="93"/>
      <c r="C509" s="114"/>
      <c r="D509" s="114"/>
      <c r="E509" s="20"/>
      <c r="F509" s="20"/>
    </row>
    <row r="510">
      <c r="A510" s="28"/>
      <c r="B510" s="93"/>
      <c r="C510" s="114"/>
      <c r="D510" s="114"/>
      <c r="E510" s="20"/>
      <c r="F510" s="20"/>
    </row>
    <row r="511">
      <c r="A511" s="28"/>
      <c r="B511" s="93"/>
      <c r="C511" s="114"/>
      <c r="D511" s="114"/>
      <c r="E511" s="20"/>
      <c r="F511" s="20"/>
    </row>
    <row r="512">
      <c r="A512" s="28"/>
      <c r="B512" s="93"/>
      <c r="C512" s="114"/>
      <c r="D512" s="114"/>
      <c r="E512" s="20"/>
      <c r="F512" s="20"/>
    </row>
    <row r="513">
      <c r="A513" s="28"/>
      <c r="B513" s="93"/>
      <c r="C513" s="114"/>
      <c r="D513" s="114"/>
      <c r="E513" s="20"/>
      <c r="F513" s="20"/>
    </row>
    <row r="514">
      <c r="A514" s="28"/>
      <c r="B514" s="93"/>
      <c r="C514" s="114"/>
      <c r="D514" s="114"/>
      <c r="E514" s="20"/>
      <c r="F514" s="20"/>
    </row>
    <row r="515">
      <c r="A515" s="28"/>
      <c r="B515" s="93"/>
      <c r="C515" s="114"/>
      <c r="D515" s="114"/>
      <c r="E515" s="20"/>
      <c r="F515" s="20"/>
    </row>
    <row r="516">
      <c r="A516" s="28"/>
      <c r="B516" s="93"/>
      <c r="C516" s="114"/>
      <c r="D516" s="114"/>
      <c r="E516" s="20"/>
      <c r="F516" s="20"/>
    </row>
    <row r="517">
      <c r="A517" s="28"/>
      <c r="B517" s="93"/>
      <c r="C517" s="114"/>
      <c r="D517" s="114"/>
      <c r="E517" s="20"/>
      <c r="F517" s="20"/>
    </row>
    <row r="518">
      <c r="A518" s="28"/>
      <c r="B518" s="93"/>
      <c r="C518" s="114"/>
      <c r="D518" s="114"/>
      <c r="E518" s="20"/>
      <c r="F518" s="20"/>
    </row>
    <row r="519">
      <c r="A519" s="28"/>
      <c r="B519" s="93"/>
      <c r="C519" s="114"/>
      <c r="D519" s="114"/>
      <c r="E519" s="20"/>
      <c r="F519" s="20"/>
    </row>
    <row r="520">
      <c r="A520" s="28"/>
      <c r="B520" s="93"/>
      <c r="C520" s="114"/>
      <c r="D520" s="114"/>
      <c r="E520" s="20"/>
      <c r="F520" s="20"/>
    </row>
  </sheetData>
  <autoFilter ref="$A$1:$F$520"/>
  <mergeCells count="1">
    <mergeCell ref="C4:D4"/>
  </mergeCells>
  <conditionalFormatting sqref="E5:E520">
    <cfRule type="expression" dxfId="0" priority="1">
      <formula>or(and(or(not(isblank(A5)),not(isblank(B5))),isblank(E5)),and(not(isblank(E5)),iserror(match(E5,indirect("'1) Artists list'!a:a"),0))))</formula>
    </cfRule>
  </conditionalFormatting>
  <conditionalFormatting sqref="F5:F520">
    <cfRule type="expression" dxfId="0" priority="2">
      <formula>or(and(or(not(isblank(A5)),not(isblank(B5))),isblank(F5)),and(not(isblank(F5)),iserror(match(F5,indirect("'Reference info'!j:j"),0))))</formula>
    </cfRule>
  </conditionalFormatting>
  <conditionalFormatting sqref="A1:B1 G1 H3">
    <cfRule type="cellIs" dxfId="3" priority="3" operator="notEqual">
      <formula>0</formula>
    </cfRule>
  </conditionalFormatting>
  <conditionalFormatting sqref="F5:F520">
    <cfRule type="expression" dxfId="3" priority="4">
      <formula>or(and(or(A5&lt;&gt;"",B5&lt;&gt;""),isblank(E5)),and(E5&lt;&gt;"", iserror(match(E5,indirect("'1) Artists list'!a:a"),0)))) =or(and(or(A5&lt;&gt;"",B5&lt;&gt;""),isblank(F5)),and(F5&lt;&gt;"", iserror(match(F5,indirect("'Reference info'!j:j"),0))))  =or(and(A5&lt;&gt;"",A5=A6,F5="Main Primary Artist",F5=F6),and(B5&lt;&gt;"",B5=B6,F5="Main Primary Artist",F5=F6),and(A5&lt;&gt;"",A5=A4,F5="Main Primary Artist",F5=F4),and(B5&lt;&gt;"",B5=B4,F5="Main Primary Artist",F5=F4))</formula>
    </cfRule>
  </conditionalFormatting>
  <conditionalFormatting sqref="A5:B520">
    <cfRule type="expression" dxfId="5" priority="5">
      <formula>and(B5&lt;&gt;"",A5&lt;&gt;"",countif(A:A,A5)&lt;&gt;countif(B:B,B5))</formula>
    </cfRule>
  </conditionalFormatting>
  <conditionalFormatting sqref="A5:A520">
    <cfRule type="expression" dxfId="3" priority="6">
      <formula>COUNTIFS($A$5:A520, A5, $F$5:F520, "Main Primary Artist") &gt; 1</formula>
    </cfRule>
  </conditionalFormatting>
  <conditionalFormatting sqref="B5:B520">
    <cfRule type="expression" dxfId="3" priority="7">
      <formula>COUNTIFS($B$5:B520, B5, $F$5:F520, "Main Primary Artist") &gt; 1</formula>
    </cfRule>
  </conditionalFormatting>
  <conditionalFormatting sqref="A5:A520">
    <cfRule type="expression" dxfId="3" priority="8">
      <formula>AND(A5&lt;&gt;"", COUNTIFS($A$5:A520, A5, $G$5:G520, "Producer &amp; Engineer") = 0)</formula>
    </cfRule>
  </conditionalFormatting>
  <conditionalFormatting sqref="B5:B520">
    <cfRule type="expression" dxfId="3" priority="9">
      <formula>AND(B5&lt;&gt;"", COUNTIFS($B$5:B520, B5, $G$5:G520, "Producer &amp; Engineer") = 0)</formula>
    </cfRule>
  </conditionalFormatting>
  <dataValidations>
    <dataValidation type="custom" allowBlank="1" showDropDown="1" showInputMessage="1" showErrorMessage="1" prompt="Enter a value that satisfies the formula: =and(INT(A5)=A5,A5&gt;9999999999)" sqref="A5:A520">
      <formula1>and(INT(A5)=A5,A5&gt;9999999999)</formula1>
    </dataValidation>
    <dataValidation type="list" allowBlank="1" showInputMessage="1" showErrorMessage="1" prompt="select from list, type or drag. Each release MUST have only ONE Artist assigned the 'Primary - Top' role." sqref="F5:F520">
      <formula1>ArtistRole</formula1>
    </dataValidation>
    <dataValidation type="list" allowBlank="1" showInputMessage="1" showErrorMessage="1" prompt="select from Artists list, start typing or drag" sqref="E5:E520">
      <formula1>Artist</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75"/>
    <col customWidth="1" min="2" max="2" width="13.0"/>
    <col customWidth="1" min="3" max="3" width="28.75"/>
    <col customWidth="1" min="4" max="4" width="16.5"/>
    <col customWidth="1" min="5" max="5" width="8.13"/>
    <col customWidth="1" min="6" max="6" width="14.5"/>
    <col customWidth="1" min="7" max="7" width="13.0"/>
    <col customWidth="1" min="8" max="8" width="31.75"/>
    <col customWidth="1" min="9" max="9" width="14.5"/>
    <col customWidth="1" min="10" max="10" width="24.38"/>
    <col customWidth="1" min="11" max="11" width="8.38"/>
    <col customWidth="1" min="12" max="12" width="11.5"/>
    <col customWidth="1" min="13" max="13" width="29.0"/>
    <col customWidth="1" min="14" max="14" width="6.38"/>
    <col customWidth="1" min="15" max="15" width="10.13"/>
    <col customWidth="1" min="16" max="16" width="12.88"/>
    <col customWidth="1" min="17" max="17" width="8.0"/>
    <col customWidth="1" min="18" max="18" width="12.0"/>
    <col customWidth="1" min="19" max="19" width="87.63"/>
    <col customWidth="1" min="20" max="20" width="46.88"/>
    <col customWidth="1" min="21" max="21" width="9.88"/>
    <col customWidth="1" min="22" max="22" width="8.38"/>
    <col customWidth="1" min="23" max="23" width="6.75"/>
    <col customWidth="1" min="27" max="27" width="11.0"/>
  </cols>
  <sheetData>
    <row r="1">
      <c r="A1" s="13">
        <f>IFERROR(__xludf.DUMMYFUNCTION("COUNTUNIQUE(A5:A617)-'3) Release_Label'!D1"),0.0)</f>
        <v>0</v>
      </c>
      <c r="B1" s="13">
        <f>IFERROR(__xludf.DUMMYFUNCTION("COUNTUNIQUE(B5:B617)-'3) Release_Label'!E1"),0.0)</f>
        <v>0</v>
      </c>
      <c r="C1" s="95" t="s">
        <v>94</v>
      </c>
      <c r="D1" s="96"/>
      <c r="E1" s="55">
        <f>count(E5:E617)</f>
        <v>2</v>
      </c>
      <c r="F1" s="13">
        <f>IFERROR(__xludf.DUMMYFUNCTION("COUNTUNIQUE(F5:F617)"),2.0)</f>
        <v>2</v>
      </c>
      <c r="G1" s="13">
        <f>IFERROR(__xludf.DUMMYFUNCTION("COUNTUNIQUE(G5:G617)"),0.0)</f>
        <v>0</v>
      </c>
      <c r="H1" s="53" t="s">
        <v>29</v>
      </c>
      <c r="I1" s="54" t="s">
        <v>55</v>
      </c>
      <c r="J1" s="22" t="s">
        <v>27</v>
      </c>
      <c r="K1" s="94"/>
      <c r="M1" s="13">
        <f>IFERROR(__xludf.DUMMYFUNCTION("COUNTUNIQUE(M5:M617)"),2.0)</f>
        <v>2</v>
      </c>
      <c r="N1" s="13">
        <f>COUNTA(N5:N617)</f>
        <v>2</v>
      </c>
    </row>
    <row r="2">
      <c r="A2" s="101" t="s">
        <v>108</v>
      </c>
      <c r="B2" s="102"/>
      <c r="C2" s="102"/>
      <c r="D2" s="115"/>
      <c r="E2" s="116"/>
      <c r="F2" s="102"/>
      <c r="G2" s="102"/>
      <c r="H2" s="102"/>
      <c r="I2" s="102"/>
      <c r="J2" s="102"/>
      <c r="K2" s="115"/>
      <c r="L2" s="102"/>
      <c r="M2" s="102"/>
      <c r="N2" s="102"/>
      <c r="O2" s="102"/>
      <c r="P2" s="61"/>
      <c r="Q2" s="117"/>
      <c r="R2" s="117"/>
      <c r="S2" s="117"/>
      <c r="T2" s="117"/>
      <c r="U2" s="117"/>
      <c r="V2" s="117"/>
      <c r="W2" s="117"/>
      <c r="X2" s="117"/>
      <c r="Y2" s="117"/>
      <c r="Z2" s="117"/>
      <c r="AA2" s="117"/>
      <c r="AB2" s="117"/>
      <c r="AC2" s="117"/>
      <c r="AD2" s="117"/>
      <c r="AE2" s="117"/>
      <c r="AF2" s="117"/>
      <c r="AG2" s="117"/>
      <c r="AH2" s="117"/>
      <c r="AI2" s="117"/>
      <c r="AJ2" s="117"/>
      <c r="AK2" s="117"/>
      <c r="AL2" s="117"/>
      <c r="AM2" s="117"/>
    </row>
    <row r="3">
      <c r="A3" s="68" t="s">
        <v>60</v>
      </c>
      <c r="B3" s="69" t="s">
        <v>61</v>
      </c>
      <c r="C3" s="103" t="s">
        <v>62</v>
      </c>
      <c r="D3" s="103" t="s">
        <v>64</v>
      </c>
      <c r="E3" s="103" t="s">
        <v>109</v>
      </c>
      <c r="F3" s="118" t="s">
        <v>110</v>
      </c>
      <c r="G3" s="69" t="s">
        <v>111</v>
      </c>
      <c r="H3" s="70" t="s">
        <v>112</v>
      </c>
      <c r="I3" s="119" t="s">
        <v>113</v>
      </c>
      <c r="J3" s="49" t="s">
        <v>114</v>
      </c>
      <c r="K3" s="49" t="s">
        <v>115</v>
      </c>
      <c r="L3" s="49" t="s">
        <v>116</v>
      </c>
      <c r="M3" s="69" t="s">
        <v>117</v>
      </c>
      <c r="N3" s="67" t="s">
        <v>118</v>
      </c>
      <c r="O3" s="120" t="s">
        <v>119</v>
      </c>
      <c r="P3" s="75" t="s">
        <v>120</v>
      </c>
    </row>
    <row r="4">
      <c r="A4" s="78" t="s">
        <v>99</v>
      </c>
      <c r="B4" s="80" t="s">
        <v>99</v>
      </c>
      <c r="C4" s="121" t="s">
        <v>100</v>
      </c>
      <c r="E4" s="122" t="s">
        <v>121</v>
      </c>
      <c r="F4" s="123" t="s">
        <v>122</v>
      </c>
      <c r="G4" s="80" t="s">
        <v>123</v>
      </c>
      <c r="H4" s="81" t="s">
        <v>76</v>
      </c>
      <c r="I4" s="82" t="s">
        <v>78</v>
      </c>
      <c r="J4" s="124" t="s">
        <v>124</v>
      </c>
      <c r="K4" s="124" t="s">
        <v>125</v>
      </c>
      <c r="L4" s="124" t="s">
        <v>126</v>
      </c>
      <c r="M4" s="80" t="s">
        <v>127</v>
      </c>
      <c r="N4" s="125" t="s">
        <v>128</v>
      </c>
      <c r="O4" s="36" t="s">
        <v>129</v>
      </c>
      <c r="P4" s="126"/>
    </row>
    <row r="5">
      <c r="A5" s="127">
        <v>7.89294845633E11</v>
      </c>
      <c r="B5" s="110"/>
      <c r="C5" s="114" t="str">
        <f t="array" ref="C5">ifs(and(isblank($A5),isblank($B5)),"", not(iserror(vlookup($A5&amp;$B5,'3) Release_Label'!$D:$D&amp;'3) Release_Label'!$E:$E,1,0))),vlookup($A5&amp;$B5,{'3) Release_Label'!$D:$D&amp;'3) Release_Label'!$E:$E,'3) Release_Label'!$F:$F},2,0), or(and(not(isblank($B5)),$B5=#REF!,$A5&lt;&gt;#REF!),and(not(isblank($A5)),$A5=#REF!,$B5&lt;&gt;#REF!)),"ID LISTS UNALIGNED",and($A5&lt;&gt;"",countif('3) Release_Label'!$D:$D,$A5)=0),"NO UPC MATCH in Release_Label",and($B5&lt;&gt;"",countif('3) Release_Label'!$E:$E,$B5)=0),"NO CATALOG ID MATCH in Release_Label",iserror(vlookup($A5&amp;$B5,'3) Release_Label'!$D:$D&amp;'3) Release_Label'!$E:$E,1,0)),"NO UPC-CATALOG ID pair MATCH in Release_Label" )</f>
        <v>Receba</v>
      </c>
      <c r="D5" s="114" t="str">
        <f t="array" ref="D5">ifs(and(isblank($A5),isblank($B5)),"", not(iserror(vlookup($A5&amp;$B5,'3) Release_Label'!$D:$D&amp;'3) Release_Label'!$E:$E,1,0))),vlookup($A5&amp;$B5,{'3) Release_Label'!$D:$D&amp;'3) Release_Label'!$E:$E,'3) Release_Label'!$H:$H},2,0), or(and(not(isblank($B5)),$B5=#REF!,$A5&lt;&gt;#REF!),and(not(isblank($A5)),$A5=#REF!,$B5&lt;&gt;#REF!)),"ID LISTS UNALIGNED",and($A5&lt;&gt;"",countif('3) Release_Label'!$D:$D,$A5)=0),"NO UPC MATCH in Release_Label",and($B5&lt;&gt;"",countif('3) Release_Label'!$E:$E,$B5)=0),"NO CATALOG ID MATCH in Release_Label",iserror(vlookup($A5&amp;$B5,'3) Release_Label'!$D:$D&amp;'3) Release_Label'!$E:$E,1,0)),"NO UPC-CATALOG ID pair MATCH in Release_Label" )</f>
        <v>Extended</v>
      </c>
      <c r="E5" s="128">
        <f t="shared" ref="E5:E6" si="1">if(and(isblank($A5),isblank($B5)),"",if(not(iserror(find("MATCH in ",D5))),D5,if(or(and(not(isblank($B5)),$B5=$B4,$A5&lt;&gt;$A4),and(not(isblank($A5)),$A5=$A4,$B5&lt;&gt;$B4)),"ID LISTS UNALIGNED",if(not(isblank($A5)),if($A5=$A4,1+E4,1),if($B5=$B4,1+E4,1)))))</f>
        <v>1</v>
      </c>
      <c r="F5" s="8" t="s">
        <v>130</v>
      </c>
      <c r="G5" s="110"/>
      <c r="H5" s="129" t="s">
        <v>87</v>
      </c>
      <c r="I5" s="28" t="s">
        <v>89</v>
      </c>
      <c r="J5" s="8" t="s">
        <v>88</v>
      </c>
      <c r="K5" s="130" t="s">
        <v>131</v>
      </c>
      <c r="L5" s="8" t="s">
        <v>132</v>
      </c>
      <c r="M5" s="131" t="s">
        <v>133</v>
      </c>
      <c r="N5" s="8" t="s">
        <v>134</v>
      </c>
      <c r="O5" s="28">
        <v>140.0</v>
      </c>
      <c r="P5" s="28">
        <v>12345.0</v>
      </c>
      <c r="Q5" s="28"/>
      <c r="R5" s="46" t="str">
        <f t="shared" ref="R5:R6" si="2">if(OR(M5="",Q5&gt;1),"","insert into AudioFiles VALUES (NEWID(),'"&amp;if(G5="",F5&amp;"."&amp;N5,G5&amp;"."&amp;N5)&amp;"', '."&amp;N5&amp;"', getdate(), null, 0, null, '"&amp;SUBSTITUTE(trim(M5),"'","''")&amp;"', 0, null, null, null, null)")</f>
        <v>insert into AudioFiles VALUES (NEWID(),'QZW9M2221000.flac', '.flac', getdate(), null, 0, null, 'https://www.dropbox.com/scl/fi/sjv55c5eqq0utzgy15ojq/Joy-Mejia-Amarte-Es-Mi-Pasatiempo.wav?rlkey=6j5ruxil4gc3vxonuf8ownxvi&amp;st=8kysye3f&amp;dl=1', 0, null, null, null, null)</v>
      </c>
      <c r="S5" s="46" t="str">
        <f>"Insert into Tracks VALUES(N'"&amp;SUBSTITUTE(trim(H5),"'","''")&amp;"', 371631, "&amp;if(not(ISBLANK(A5)),"(select LabelId from Releases where UPC="&amp;A5&amp;" and EnterpriseId="&amp;EntId&amp;")","(select LabelId from Releases where Catalog='"&amp;SUBSTITUTE(trim(B5),"'","''")&amp;"' and EnterpriseId="&amp;EntId&amp;")")&amp;", "&amp;if(F5="", "null", "'"&amp;F5&amp;"'")&amp;", "&amp;if(I5="", "null","N'"&amp;SUBSTITUTE(trim(I5),"'","''")&amp;"'")&amp;", null, null, "&amp;if(G5="", "null","'"&amp;SUBSTITUTE(trim(G5),"'","''")&amp;"'")&amp;", null, null, null, "&amp;if(M5="","null",if(G5="","(select AudioId from AudioFiles where Filename='"&amp;F5&amp;".wav' and ExternalUrl='"&amp;SUBSTITUTE(trim(M5),"'","''")&amp;"' and IsDownloadedFromExternalUrl=0)","(select AudioId from AudioFiles where Filename='"&amp;G5&amp;".wav' and ExternalUrl='"&amp;SUBSTITUTE(trim(M5),"'","''")&amp;"' and IsDownloadedFromExternalUrl=0)"))&amp;", null, null, null, (select min(LanguageId) from Languages where LanguageName='"&amp;J5&amp;"' and IsValidMetadataLanguage=1), null, "&amp;if(K5="YES", 1,0)&amp;", getdate(), (select CreatedBy from Enterprises where EnterpriseId="&amp;EntId&amp;"), null, '34F4C88E-B410-461E-AD75-6C01536FDCD3', null, 0, null, null, null, null, "&amp;if(M5="","null",if(G5="","(select AudioId from AudioFiles where Filename='"&amp;F5&amp;".flac' and ExternalUrl='"&amp;SUBSTITUTE(trim(M5),"'","''")&amp;"' and IsDownloadedFromExternalUrl=0)","(select AudioId from AudioFiles where Filename='"&amp;G5&amp;".flac' and ExternalUrl='"&amp;SUBSTITUTE(trim(M5),"'","''")&amp;"' and IsDownloadedFromExternalUrl=0)"))&amp;", null, null, null, null, null, "&amp;if(not(ISBLANK(A5)),"(select PrimaryMusicStyleId from Releases where UPC="&amp;A5&amp;" and EnterpriseId="&amp;EntId&amp;")","(select PrimaryMusicStyleId from Releases where Catalog='"&amp;SUBSTITUTE(trim(B5),"'","''")&amp;"' and EnterpriseId="&amp;EntId&amp;")")&amp;", "&amp;if(not(ISBLANK(A5)),"(select SecondaryMusicStyleId from Releases where UPC="&amp;A5&amp;" and EnterpriseId="&amp;EntId&amp;")","(select SecondaryMusicStyleId from Releases where Catalog='"&amp;SUBSTITUTE(trim(B5),"'","''")&amp;"' and EnterpriseId="&amp;EntId&amp;")")&amp;", "&amp;IF(O5="","null",O5)&amp;", 0, null, (select id from internal_TrackTypes where description='"&amp;L5&amp;"'), null, null, null, null, (NEXT VALUE FOR [AssetIdSequence]), null, "&amp;TenantId&amp;", "&amp;EntId&amp;", "&amp;if(F5&lt;&gt;"",countif(F$5:F5,F5),countif(G$5:G5,G5))&amp;"); 
insert into Releases_Tracks values ( (select ReleaseId from Releases where "&amp;if(not(ISBLANK(A5)),"UPC="&amp;A5,"Catalog='"&amp;SUBSTITUTE(trim(B5),"'","''")&amp;"'")&amp;" and EnterpriseId="&amp;EntId&amp;"), (select max(TrackId) from Tracks where "&amp;if(trim(G5)="","ISRC='"&amp;F5&amp;"'","TrackVendorId='"&amp;SUBSTITUTE(trim(G5),"'","''")&amp;"'") &amp;" and EnterpriseId="&amp;EntId&amp;"), "&amp;E5&amp;", (NEXT VALUE FOR [AssetIdSequence]), null);
update Releases_Tracks set RevelatorExternalUsageTrackId=AssetId where TrackId=(select max(TrackId) from Tracks where "&amp;IF(F5="","TrackVendorId='"&amp;G5&amp;"'","ISRC='"&amp;F5&amp;"'")&amp;" and EnterpriseId="&amp;EntId&amp;");
Insert into TrackRecordingVersions values ((select max(TrackId) from Tracks where "&amp;IF(F5="","TrackVendorId='"&amp;G5&amp;"'","ISRC='"&amp;F5&amp;"'")&amp;" and EnterpriseId="&amp;EntId&amp;"),  "&amp;IF(F5="","null","'"&amp;F5&amp;"'")&amp;", 1, getdate());
Insert into TrackRecordingVersionsAudioFiles values ((select max(TrackRecordingVersionId) from TrackRecordingVersions where TrackId in (select max(TrackId) from Tracks where "&amp;IF(F5="","TrackVendorId='"&amp;G5&amp;"'","ISRC='"&amp;F5&amp;"'")&amp;" and EnterpriseId="&amp;EntId&amp;")), "&amp;if(M5="","null",if(G5="","(select AudioId from AudioFiles where Filename='"&amp;F5&amp;"."&amp;N5&amp;"' and ExternalUrl='"&amp;SUBSTITUTE(trim(M5),"'","''")&amp;"' and IsDownloadedFromExternalUrl=0)","(select AudioId from AudioFiles where Filename='"&amp;G5&amp;"."&amp;N5&amp;"' and ExternalUrl='"&amp;SUBSTITUTE(trim(M5),"'","''")&amp;"' and IsDownloadedFromExternalUrl=0)"))&amp;", "&amp;IFS(N5="","null",N5="wav","1",N5="flac","2")&amp;");
Insert into Track_TrackProperties values ((select max(TrackId) from Tracks where "&amp;IF(F5="","TrackVendorId='"&amp;G5&amp;"'","ISRC='"&amp;F5&amp;"'")&amp;" and EnterpriseId="&amp;EntId&amp;"),1);"</f>
        <v>Insert into Tracks VALUES(N'Receba', 371631, (select LabelId from Releases where UPC=789294845633 and EnterpriseId=414849), 'QZW9M2221000', N'Extended', null, null, null, null, null, null, (select AudioId from AudioFiles where Filename='QZW9M2221000.wav' and ExternalUrl='https://www.dropbox.com/scl/fi/sjv55c5eqq0utzgy15ojq/Joy-Mejia-Amarte-Es-Mi-Pasatiempo.wav?rlkey=6j5ruxil4gc3vxonuf8ownxvi&amp;st=8kysye3f&amp;dl=1' and IsDownloadedFromExternalUrl=0), null, null, null, (select min(LanguageId) from Languages where LanguageName='Portuguese' and IsValidMetadataLanguage=1), null, 0, getdate(), (select CreatedBy from Enterprises where EnterpriseId=414849), null, '34F4C88E-B410-461E-AD75-6C01536FDCD3', null, 0, null, null, null, null, (select AudioId from AudioFiles where Filename='QZW9M2221000.flac' and ExternalUrl='https://www.dropbox.com/scl/fi/sjv55c5eqq0utzgy15ojq/Joy-Mejia-Amarte-Es-Mi-Pasatiempo.wav?rlkey=6j5ruxil4gc3vxonuf8ownxvi&amp;st=8kysye3f&amp;dl=1' and IsDownloadedFromExternalUrl=0), null, null, null, null, null, (select PrimaryMusicStyleId from Releases where UPC=789294845633 and EnterpriseId=414849), (select SecondaryMusicStyleId from Releases where UPC=789294845633 and EnterpriseId=414849), 140, 0, null, (select id from internal_TrackTypes where description='Original'), null, null, null, null, (NEXT VALUE FOR [AssetIdSequence]), null, 332920, 414849, 1); 
insert into Releases_Tracks values ( (select ReleaseId from Releases where UPC=789294845633 and EnterpriseId=414849), (select max(TrackId) from Tracks where ISRC='QZW9M2221000' and EnterpriseId=414849), 1, (NEXT VALUE FOR [AssetIdSequence]), null);
update Releases_Tracks set RevelatorExternalUsageTrackId=AssetId where TrackId=(select max(TrackId) from Tracks where ISRC='QZW9M2221000' and EnterpriseId=414849);
Insert into TrackRecordingVersions values ((select max(TrackId) from Tracks where ISRC='QZW9M2221000' and EnterpriseId=414849),  'QZW9M2221000', 1, getdate());
Insert into TrackRecordingVersionsAudioFiles values ((select max(TrackRecordingVersionId) from TrackRecordingVersions where TrackId in (select max(TrackId) from Tracks where ISRC='QZW9M2221000' and EnterpriseId=414849)), (select AudioId from AudioFiles where Filename='QZW9M2221000.flac' and ExternalUrl='https://www.dropbox.com/scl/fi/sjv55c5eqq0utzgy15ojq/Joy-Mejia-Amarte-Es-Mi-Pasatiempo.wav?rlkey=6j5ruxil4gc3vxonuf8ownxvi&amp;st=8kysye3f&amp;dl=1' and IsDownloadedFromExternalUrl=0), 2);
Insert into Track_TrackProperties values ((select max(TrackId) from Tracks where ISRC='QZW9M2221000' and EnterpriseId=414849),1);</v>
      </c>
      <c r="T5" s="28"/>
      <c r="U5" s="28" t="str">
        <f>VLOOKUP(F5,'6) Track_Artist(s)'!A:A,1,0)</f>
        <v>QZW9M2221000</v>
      </c>
      <c r="V5" s="28"/>
      <c r="W5" s="28"/>
      <c r="X5" s="28"/>
      <c r="Y5" s="28"/>
      <c r="Z5" s="28"/>
      <c r="AA5" s="28"/>
      <c r="AB5" s="28"/>
      <c r="AC5" s="28"/>
      <c r="AD5" s="28"/>
      <c r="AE5" s="28"/>
      <c r="AF5" s="28"/>
      <c r="AG5" s="28"/>
      <c r="AH5" s="28"/>
      <c r="AI5" s="28"/>
      <c r="AJ5" s="28"/>
      <c r="AK5" s="28"/>
      <c r="AL5" s="28"/>
      <c r="AM5" s="28"/>
    </row>
    <row r="6">
      <c r="A6" s="127">
        <v>7.89294962088E11</v>
      </c>
      <c r="B6" s="110"/>
      <c r="C6" s="114" t="str">
        <f t="array" ref="C6">ifs(and(isblank($A6),isblank($B6)),"", not(iserror(vlookup($A6&amp;$B6,'3) Release_Label'!$D:$D&amp;'3) Release_Label'!$E:$E,1,0))),vlookup($A6&amp;$B6,{'3) Release_Label'!$D:$D&amp;'3) Release_Label'!$E:$E,'3) Release_Label'!$F:$F},2,0),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A Cláusula do Contrato</v>
      </c>
      <c r="D6" s="114" t="str">
        <f t="array" ref="D6">ifs(and(isblank($A6),isblank($B6)),"", not(iserror(vlookup($A6&amp;$B6,'3) Release_Label'!$D:$D&amp;'3) Release_Label'!$E:$E,1,0))),vlookup($A6&amp;$B6,{'3) Release_Label'!$D:$D&amp;'3) Release_Label'!$E:$E,'3) Release_Label'!$H:$H},2,0),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
      </c>
      <c r="E6" s="128">
        <f t="shared" si="1"/>
        <v>1</v>
      </c>
      <c r="F6" s="8" t="s">
        <v>135</v>
      </c>
      <c r="G6" s="110"/>
      <c r="H6" s="129" t="s">
        <v>93</v>
      </c>
      <c r="I6" s="28"/>
      <c r="J6" s="8" t="s">
        <v>88</v>
      </c>
      <c r="K6" s="130" t="s">
        <v>131</v>
      </c>
      <c r="L6" s="8" t="s">
        <v>132</v>
      </c>
      <c r="M6" s="44" t="s">
        <v>136</v>
      </c>
      <c r="N6" s="8" t="s">
        <v>134</v>
      </c>
      <c r="O6" s="8">
        <v>200.0</v>
      </c>
      <c r="P6" s="8">
        <v>67890.0</v>
      </c>
      <c r="R6" s="46" t="str">
        <f t="shared" si="2"/>
        <v>insert into AudioFiles VALUES (NEWID(),'QZW9M2236571.flac', '.flac', getdate(), null, 0, null, 'https://www.dropbox.com/scl/fi/ncgo2nf5srfafm0odhequ/Joy-Mejia-Te-Fall.wav?rlkey=6jl64vr3v0w4tn6km1sbhlxux&amp;st=um08pokf&amp;dl=1', 0, null, null, null, null)</v>
      </c>
      <c r="S6" s="46" t="str">
        <f>"Insert into Tracks VALUES(N'"&amp;SUBSTITUTE(trim(H6),"'","''")&amp;"', 371631, "&amp;if(not(ISBLANK(A6)),"(select LabelId from Releases where UPC="&amp;A6&amp;" and EnterpriseId="&amp;EntId&amp;")","(select LabelId from Releases where Catalog='"&amp;SUBSTITUTE(trim(B6),"'","''")&amp;"' and EnterpriseId="&amp;EntId&amp;")")&amp;", "&amp;if(F6="", "null", "'"&amp;F6&amp;"'")&amp;", "&amp;if(I6="", "null","N'"&amp;SUBSTITUTE(trim(I6),"'","''")&amp;"'")&amp;", null, null, "&amp;if(G6="", "null","'"&amp;SUBSTITUTE(trim(G6),"'","''")&amp;"'")&amp;", null, null, null, "&amp;if(M6="","null",if(G6="","(select AudioId from AudioFiles where Filename='"&amp;F6&amp;".wav' and ExternalUrl='"&amp;SUBSTITUTE(trim(M6),"'","''")&amp;"' and IsDownloadedFromExternalUrl=0)","(select AudioId from AudioFiles where Filename='"&amp;G6&amp;".wav' and ExternalUrl='"&amp;SUBSTITUTE(trim(M6),"'","''")&amp;"' and IsDownloadedFromExternalUrl=0)"))&amp;", null, null, null, (select min(LanguageId) from Languages where LanguageName='"&amp;J6&amp;"' and IsValidMetadataLanguage=1), null, "&amp;if(K6="YES", 1,0)&amp;", getdate(), (select CreatedBy from Enterprises where EnterpriseId="&amp;EntId&amp;"), null, '34F4C88E-B410-461E-AD75-6C01536FDCD3', null, 0, null, null, null, null, "&amp;if(M6="","null",if(G6="","(select AudioId from AudioFiles where Filename='"&amp;F6&amp;".flac' and ExternalUrl='"&amp;SUBSTITUTE(trim(M6),"'","''")&amp;"' and IsDownloadedFromExternalUrl=0)","(select AudioId from AudioFiles where Filename='"&amp;G6&amp;".flac' and ExternalUrl='"&amp;SUBSTITUTE(trim(M6),"'","''")&amp;"' and IsDownloadedFromExternalUrl=0)"))&amp;", null, null, null, null, null, "&amp;if(not(ISBLANK(A6)),"(select PrimaryMusicStyleId from Releases where UPC="&amp;A6&amp;" and EnterpriseId="&amp;EntId&amp;")","(select PrimaryMusicStyleId from Releases where Catalog='"&amp;SUBSTITUTE(trim(B6),"'","''")&amp;"' and EnterpriseId="&amp;EntId&amp;")")&amp;", "&amp;if(not(ISBLANK(A6)),"(select SecondaryMusicStyleId from Releases where UPC="&amp;A6&amp;" and EnterpriseId="&amp;EntId&amp;")","(select SecondaryMusicStyleId from Releases where Catalog='"&amp;SUBSTITUTE(trim(B6),"'","''")&amp;"' and EnterpriseId="&amp;EntId&amp;")")&amp;", "&amp;IF(O6="","null",O6)&amp;", 0, null, (select id from internal_TrackTypes where description='"&amp;L6&amp;"'), null, null, null, null, (NEXT VALUE FOR [AssetIdSequence]), null, "&amp;TenantId&amp;", "&amp;EntId&amp;", "&amp;if(F6&lt;&gt;"",countif(F$5:F6,F6),countif(G$5:G6,G6))&amp;"); 
insert into Releases_Tracks values ( (select ReleaseId from Releases where "&amp;if(not(ISBLANK(A6)),"UPC="&amp;A6,"Catalog='"&amp;SUBSTITUTE(trim(B6),"'","''")&amp;"'")&amp;" and EnterpriseId="&amp;EntId&amp;"), (select max(TrackId) from Tracks where "&amp;if(trim(G6)="","ISRC='"&amp;F6&amp;"'","TrackVendorId='"&amp;SUBSTITUTE(trim(G6),"'","''")&amp;"'") &amp;" and EnterpriseId="&amp;EntId&amp;"), "&amp;E6&amp;", (NEXT VALUE FOR [AssetIdSequence]), null);
update Releases_Tracks set RevelatorExternalUsageTrackId=AssetId where TrackId=(select max(TrackId) from Tracks where "&amp;IF(F6="","TrackVendorId='"&amp;G6&amp;"'","ISRC='"&amp;F6&amp;"'")&amp;" and EnterpriseId="&amp;EntId&amp;");
Insert into TrackRecordingVersions values ((select max(TrackId) from Tracks where "&amp;IF(F6="","TrackVendorId='"&amp;G6&amp;"'","ISRC='"&amp;F6&amp;"'")&amp;" and EnterpriseId="&amp;EntId&amp;"),  "&amp;IF(F6="","null","'"&amp;F6&amp;"'")&amp;", 1, getdate());
Insert into TrackRecordingVersionsAudioFiles values ((select max(TrackRecordingVersionId) from TrackRecordingVersions where TrackId in (select max(TrackId) from Tracks where "&amp;IF(F6="","TrackVendorId='"&amp;G6&amp;"'","ISRC='"&amp;F6&amp;"'")&amp;" and EnterpriseId="&amp;EntId&amp;")), "&amp;if(M6="","null",if(G6="","(select AudioId from AudioFiles where Filename='"&amp;F6&amp;"."&amp;N6&amp;"' and ExternalUrl='"&amp;SUBSTITUTE(trim(M6),"'","''")&amp;"' and IsDownloadedFromExternalUrl=0)","(select AudioId from AudioFiles where Filename='"&amp;G6&amp;"."&amp;N6&amp;"' and ExternalUrl='"&amp;SUBSTITUTE(trim(M6),"'","''")&amp;"' and IsDownloadedFromExternalUrl=0)"))&amp;", "&amp;IFS(N6="","null",N6="wav","1",N6="flac","2")&amp;");
Insert into Track_TrackProperties values ((select max(TrackId) from Tracks where "&amp;IF(F6="","TrackVendorId='"&amp;G6&amp;"'","ISRC='"&amp;F6&amp;"'")&amp;" and EnterpriseId="&amp;EntId&amp;"),1);"</f>
        <v>Insert into Tracks VALUES(N'A Cláusula do Contrato', 371631, (select LabelId from Releases where UPC=789294962088 and EnterpriseId=414849), 'QZW9M2236571', null, null, null, null, null, null, null, (select AudioId from AudioFiles where Filename='QZW9M2236571.wav' and ExternalUrl='https://www.dropbox.com/scl/fi/ncgo2nf5srfafm0odhequ/Joy-Mejia-Te-Fall.wav?rlkey=6jl64vr3v0w4tn6km1sbhlxux&amp;st=um08pokf&amp;dl=1' and IsDownloadedFromExternalUrl=0), null, null, null, (select min(LanguageId) from Languages where LanguageName='Portuguese' and IsValidMetadataLanguage=1), null, 0, getdate(), (select CreatedBy from Enterprises where EnterpriseId=414849), null, '34F4C88E-B410-461E-AD75-6C01536FDCD3', null, 0, null, null, null, null, (select AudioId from AudioFiles where Filename='QZW9M2236571.flac' and ExternalUrl='https://www.dropbox.com/scl/fi/ncgo2nf5srfafm0odhequ/Joy-Mejia-Te-Fall.wav?rlkey=6jl64vr3v0w4tn6km1sbhlxux&amp;st=um08pokf&amp;dl=1' and IsDownloadedFromExternalUrl=0), null, null, null, null, null, (select PrimaryMusicStyleId from Releases where UPC=789294962088 and EnterpriseId=414849), (select SecondaryMusicStyleId from Releases where UPC=789294962088 and EnterpriseId=414849), 200, 0, null, (select id from internal_TrackTypes where description='Original'), null, null, null, null, (NEXT VALUE FOR [AssetIdSequence]), null, 332920, 414849, 1); 
insert into Releases_Tracks values ( (select ReleaseId from Releases where UPC=789294962088 and EnterpriseId=414849), (select max(TrackId) from Tracks where ISRC='QZW9M2236571' and EnterpriseId=414849), 1, (NEXT VALUE FOR [AssetIdSequence]), null);
update Releases_Tracks set RevelatorExternalUsageTrackId=AssetId where TrackId=(select max(TrackId) from Tracks where ISRC='QZW9M2236571' and EnterpriseId=414849);
Insert into TrackRecordingVersions values ((select max(TrackId) from Tracks where ISRC='QZW9M2236571' and EnterpriseId=414849),  'QZW9M2236571', 1, getdate());
Insert into TrackRecordingVersionsAudioFiles values ((select max(TrackRecordingVersionId) from TrackRecordingVersions where TrackId in (select max(TrackId) from Tracks where ISRC='QZW9M2236571' and EnterpriseId=414849)), (select AudioId from AudioFiles where Filename='QZW9M2236571.flac' and ExternalUrl='https://www.dropbox.com/scl/fi/ncgo2nf5srfafm0odhequ/Joy-Mejia-Te-Fall.wav?rlkey=6jl64vr3v0w4tn6km1sbhlxux&amp;st=um08pokf&amp;dl=1' and IsDownloadedFromExternalUrl=0), 2);
Insert into Track_TrackProperties values ((select max(TrackId) from Tracks where ISRC='QZW9M2236571' and EnterpriseId=414849),1);</v>
      </c>
      <c r="T6" s="132"/>
      <c r="U6" s="28" t="str">
        <f>VLOOKUP(F6,'6) Track_Artist(s)'!A:A,1,0)</f>
        <v>QZW9M2236571</v>
      </c>
      <c r="V6" s="28"/>
      <c r="W6" s="28"/>
      <c r="X6" s="28"/>
    </row>
    <row r="7">
      <c r="A7" s="89"/>
      <c r="B7" s="93"/>
      <c r="C7" s="114" t="str">
        <f t="array" ref="C7">ifs(and(isblank($A7),isblank($B7)),"", not(iserror(vlookup($A7&amp;$B7,'3) Release_Label'!$D:$D&amp;'3) Release_Label'!$E:$E,1,0))),vlookup($A7&amp;$B7,{'3) Release_Label'!$D:$D&amp;'3) Release_Label'!$E:$E,'3) Release_Label'!$F:$F},2,0), or(and(not(isblank($B7)),$B7=#REF!,$A7&lt;&gt;#REF!),and(not(isblank($A7)),$A7=#REF!,$B7&lt;&gt;#REF!)),"ID LISTS UNALIGNED",and($A7&lt;&gt;"",countif('3) Release_Label'!$D:$D,$A7)=0),"NO UPC MATCH in Release_Label",and($B7&lt;&gt;"",countif('3) Release_Label'!$E:$E,$B7)=0),"NO CATALOG ID MATCH in Release_Label",iserror(vlookup($A7&amp;$B7,'3) Release_Label'!$D:$D&amp;'3) Release_Label'!$E:$E,1,0)),"NO UPC-CATALOG ID pair MATCH in Release_Label" )</f>
        <v/>
      </c>
      <c r="D7" s="114" t="str">
        <f t="array" ref="D7">ifs(and(isblank($A7),isblank($B7)),"", not(iserror(vlookup($A7&amp;$B7,'3) Release_Label'!$D:$D&amp;'3) Release_Label'!$E:$E,1,0))),vlookup($A7&amp;$B7,{'3) Release_Label'!$D:$D&amp;'3) Release_Label'!$E:$E,'3) Release_Label'!$H:$H},2,0), or(and(not(isblank($B7)),$B7=#REF!,$A7&lt;&gt;#REF!),and(not(isblank($A7)),$A7=#REF!,$B7&lt;&gt;#REF!)),"ID LISTS UNALIGNED",and($A7&lt;&gt;"",countif('3) Release_Label'!$D:$D,$A7)=0),"NO UPC MATCH in Release_Label",and($B7&lt;&gt;"",countif('3) Release_Label'!$E:$E,$B7)=0),"NO CATALOG ID MATCH in Release_Label",iserror(vlookup($A7&amp;$B7,'3) Release_Label'!$D:$D&amp;'3) Release_Label'!$E:$E,1,0)),"NO UPC-CATALOG ID pair MATCH in Release_Label" )</f>
        <v/>
      </c>
      <c r="E7" s="128" t="str">
        <f>if(and(isblank($A7),isblank($B7)),"",if(not(iserror(find("MATCH in ",D7))),D7,if(or(and(not(isblank($B7)),$B7=#REF!,$A7&lt;&gt;#REF!),and(not(isblank($A7)),$A7=#REF!,$B7&lt;&gt;#REF!)),"ID LISTS UNALIGNED",if(not(isblank($A7)),if($A7=#REF!,1+#REF!,1),if($B7=#REF!,1+#REF!,1)))))</f>
        <v/>
      </c>
      <c r="G7" s="93"/>
      <c r="H7" s="133"/>
      <c r="J7" s="20"/>
      <c r="K7" s="94"/>
      <c r="L7" s="20"/>
      <c r="N7" s="20"/>
      <c r="O7" s="20"/>
      <c r="P7" s="20"/>
    </row>
    <row r="8">
      <c r="A8" s="89"/>
      <c r="B8" s="93"/>
      <c r="C8" s="114" t="str">
        <f t="array" ref="C8">ifs(and(isblank($A8),isblank($B8)),"", not(iserror(vlookup($A8&amp;$B8,'3) Release_Label'!$D:$D&amp;'3) Release_Label'!$E:$E,1,0))),vlookup($A8&amp;$B8,{'3) Release_Label'!$D:$D&amp;'3) Release_Label'!$E:$E,'3) Release_Label'!$F:$F},2,0),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D8" s="114" t="str">
        <f t="array" ref="D8">ifs(and(isblank($A8),isblank($B8)),"", not(iserror(vlookup($A8&amp;$B8,'3) Release_Label'!$D:$D&amp;'3) Release_Label'!$E:$E,1,0))),vlookup($A8&amp;$B8,{'3) Release_Label'!$D:$D&amp;'3) Release_Label'!$E:$E,'3) Release_Label'!$H:$H},2,0),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E8" s="128" t="str">
        <f t="shared" ref="E8:E617" si="3">if(and(isblank($A8),isblank($B8)),"",if(not(iserror(find("MATCH in ",D8))),D8,if(or(and(not(isblank($B8)),$B8=$B7,$A8&lt;&gt;$A7),and(not(isblank($A8)),$A8=$A7,$B8&lt;&gt;$B7)),"ID LISTS UNALIGNED",if(not(isblank($A8)),if($A8=$A7,1+E7,1),if($B8=$B7,1+E7,1)))))</f>
        <v/>
      </c>
      <c r="G8" s="93"/>
      <c r="H8" s="133"/>
      <c r="J8" s="20"/>
      <c r="K8" s="94"/>
      <c r="L8" s="20"/>
      <c r="N8" s="20"/>
      <c r="O8" s="20"/>
      <c r="P8" s="20"/>
    </row>
    <row r="9">
      <c r="A9" s="89"/>
      <c r="B9" s="93"/>
      <c r="C9" s="114" t="str">
        <f t="array" ref="C9">ifs(and(isblank($A9),isblank($B9)),"", not(iserror(vlookup($A9&amp;$B9,'3) Release_Label'!$D:$D&amp;'3) Release_Label'!$E:$E,1,0))),vlookup($A9&amp;$B9,{'3) Release_Label'!$D:$D&amp;'3) Release_Label'!$E:$E,'3) Release_Label'!$F:$F},2,0),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D9" s="114" t="str">
        <f t="array" ref="D9">ifs(and(isblank($A9),isblank($B9)),"", not(iserror(vlookup($A9&amp;$B9,'3) Release_Label'!$D:$D&amp;'3) Release_Label'!$E:$E,1,0))),vlookup($A9&amp;$B9,{'3) Release_Label'!$D:$D&amp;'3) Release_Label'!$E:$E,'3) Release_Label'!$H:$H},2,0),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E9" s="128" t="str">
        <f t="shared" si="3"/>
        <v/>
      </c>
      <c r="G9" s="93"/>
      <c r="H9" s="133"/>
      <c r="J9" s="20"/>
      <c r="K9" s="94"/>
      <c r="L9" s="20"/>
      <c r="N9" s="20"/>
      <c r="O9" s="20"/>
      <c r="P9" s="20"/>
    </row>
    <row r="10">
      <c r="A10" s="89"/>
      <c r="B10" s="93"/>
      <c r="C10" s="114" t="str">
        <f t="array" ref="C10">ifs(and(isblank($A10),isblank($B10)),"", not(iserror(vlookup($A10&amp;$B10,'3) Release_Label'!$D:$D&amp;'3) Release_Label'!$E:$E,1,0))),vlookup($A10&amp;$B10,{'3) Release_Label'!$D:$D&amp;'3) Release_Label'!$E:$E,'3) Release_Label'!$F:$F},2,0),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D10" s="114" t="str">
        <f t="array" ref="D10">ifs(and(isblank($A10),isblank($B10)),"", not(iserror(vlookup($A10&amp;$B10,'3) Release_Label'!$D:$D&amp;'3) Release_Label'!$E:$E,1,0))),vlookup($A10&amp;$B10,{'3) Release_Label'!$D:$D&amp;'3) Release_Label'!$E:$E,'3) Release_Label'!$H:$H},2,0),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E10" s="128" t="str">
        <f t="shared" si="3"/>
        <v/>
      </c>
      <c r="G10" s="93"/>
      <c r="H10" s="133"/>
      <c r="J10" s="20"/>
      <c r="K10" s="94"/>
      <c r="L10" s="20"/>
      <c r="N10" s="20"/>
      <c r="O10" s="20"/>
      <c r="P10" s="20"/>
    </row>
    <row r="11">
      <c r="A11" s="89"/>
      <c r="B11" s="93"/>
      <c r="C11" s="114" t="str">
        <f t="array" ref="C11">ifs(and(isblank($A11),isblank($B11)),"", not(iserror(vlookup($A11&amp;$B11,'3) Release_Label'!$D:$D&amp;'3) Release_Label'!$E:$E,1,0))),vlookup($A11&amp;$B11,{'3) Release_Label'!$D:$D&amp;'3) Release_Label'!$E:$E,'3) Release_Label'!$F:$F},2,0),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
      </c>
      <c r="D11" s="114" t="str">
        <f t="array" ref="D11">ifs(and(isblank($A11),isblank($B11)),"", not(iserror(vlookup($A11&amp;$B11,'3) Release_Label'!$D:$D&amp;'3) Release_Label'!$E:$E,1,0))),vlookup($A11&amp;$B11,{'3) Release_Label'!$D:$D&amp;'3) Release_Label'!$E:$E,'3) Release_Label'!$H:$H},2,0),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
      </c>
      <c r="E11" s="128" t="str">
        <f t="shared" si="3"/>
        <v/>
      </c>
      <c r="G11" s="93"/>
      <c r="H11" s="133"/>
      <c r="J11" s="20"/>
      <c r="K11" s="94"/>
      <c r="L11" s="20"/>
      <c r="N11" s="20"/>
      <c r="O11" s="20"/>
      <c r="P11" s="20"/>
    </row>
    <row r="12">
      <c r="A12" s="89"/>
      <c r="B12" s="93"/>
      <c r="C12" s="114" t="str">
        <f t="array" ref="C12">ifs(and(isblank($A12),isblank($B12)),"", not(iserror(vlookup($A12&amp;$B12,'3) Release_Label'!$D:$D&amp;'3) Release_Label'!$E:$E,1,0))),vlookup($A12&amp;$B12,{'3) Release_Label'!$D:$D&amp;'3) Release_Label'!$E:$E,'3) Release_Label'!$F:$F},2,0),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D12" s="114" t="str">
        <f t="array" ref="D12">ifs(and(isblank($A12),isblank($B12)),"", not(iserror(vlookup($A12&amp;$B12,'3) Release_Label'!$D:$D&amp;'3) Release_Label'!$E:$E,1,0))),vlookup($A12&amp;$B12,{'3) Release_Label'!$D:$D&amp;'3) Release_Label'!$E:$E,'3) Release_Label'!$H:$H},2,0),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E12" s="128" t="str">
        <f t="shared" si="3"/>
        <v/>
      </c>
      <c r="G12" s="93"/>
      <c r="H12" s="133"/>
      <c r="J12" s="20"/>
      <c r="K12" s="94"/>
      <c r="L12" s="20"/>
      <c r="N12" s="20"/>
      <c r="O12" s="20"/>
      <c r="P12" s="20"/>
    </row>
    <row r="13">
      <c r="A13" s="89"/>
      <c r="B13" s="93"/>
      <c r="C13" s="114" t="str">
        <f t="array" ref="C13">ifs(and(isblank($A13),isblank($B13)),"", not(iserror(vlookup($A13&amp;$B13,'3) Release_Label'!$D:$D&amp;'3) Release_Label'!$E:$E,1,0))),vlookup($A13&amp;$B13,{'3) Release_Label'!$D:$D&amp;'3) Release_Label'!$E:$E,'3) Release_Label'!$F:$F},2,0),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D13" s="114" t="str">
        <f t="array" ref="D13">ifs(and(isblank($A13),isblank($B13)),"", not(iserror(vlookup($A13&amp;$B13,'3) Release_Label'!$D:$D&amp;'3) Release_Label'!$E:$E,1,0))),vlookup($A13&amp;$B13,{'3) Release_Label'!$D:$D&amp;'3) Release_Label'!$E:$E,'3) Release_Label'!$H:$H},2,0),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E13" s="128" t="str">
        <f t="shared" si="3"/>
        <v/>
      </c>
      <c r="G13" s="93"/>
      <c r="H13" s="133"/>
      <c r="J13" s="20"/>
      <c r="K13" s="94"/>
      <c r="L13" s="20"/>
      <c r="N13" s="20"/>
      <c r="O13" s="20"/>
      <c r="P13" s="20"/>
    </row>
    <row r="14">
      <c r="A14" s="89"/>
      <c r="B14" s="93"/>
      <c r="C14" s="114" t="str">
        <f t="array" ref="C14">ifs(and(isblank($A14),isblank($B14)),"", not(iserror(vlookup($A14&amp;$B14,'3) Release_Label'!$D:$D&amp;'3) Release_Label'!$E:$E,1,0))),vlookup($A14&amp;$B14,{'3) Release_Label'!$D:$D&amp;'3) Release_Label'!$E:$E,'3) Release_Label'!$F:$F},2,0),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D14" s="114" t="str">
        <f t="array" ref="D14">ifs(and(isblank($A14),isblank($B14)),"", not(iserror(vlookup($A14&amp;$B14,'3) Release_Label'!$D:$D&amp;'3) Release_Label'!$E:$E,1,0))),vlookup($A14&amp;$B14,{'3) Release_Label'!$D:$D&amp;'3) Release_Label'!$E:$E,'3) Release_Label'!$H:$H},2,0),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E14" s="128" t="str">
        <f t="shared" si="3"/>
        <v/>
      </c>
      <c r="G14" s="93"/>
      <c r="H14" s="133"/>
      <c r="J14" s="20"/>
      <c r="K14" s="94"/>
      <c r="L14" s="20"/>
      <c r="N14" s="20"/>
      <c r="O14" s="20"/>
      <c r="P14" s="20"/>
    </row>
    <row r="15">
      <c r="A15" s="89"/>
      <c r="B15" s="93"/>
      <c r="C15" s="114" t="str">
        <f t="array" ref="C15">ifs(and(isblank($A15),isblank($B15)),"", not(iserror(vlookup($A15&amp;$B15,'3) Release_Label'!$D:$D&amp;'3) Release_Label'!$E:$E,1,0))),vlookup($A15&amp;$B15,{'3) Release_Label'!$D:$D&amp;'3) Release_Label'!$E:$E,'3) Release_Label'!$F:$F},2,0),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D15" s="114" t="str">
        <f t="array" ref="D15">ifs(and(isblank($A15),isblank($B15)),"", not(iserror(vlookup($A15&amp;$B15,'3) Release_Label'!$D:$D&amp;'3) Release_Label'!$E:$E,1,0))),vlookup($A15&amp;$B15,{'3) Release_Label'!$D:$D&amp;'3) Release_Label'!$E:$E,'3) Release_Label'!$H:$H},2,0),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E15" s="128" t="str">
        <f t="shared" si="3"/>
        <v/>
      </c>
      <c r="G15" s="93"/>
      <c r="H15" s="133"/>
      <c r="J15" s="20"/>
      <c r="K15" s="94"/>
      <c r="L15" s="20"/>
      <c r="N15" s="20"/>
      <c r="O15" s="20"/>
      <c r="P15" s="20"/>
    </row>
    <row r="16">
      <c r="A16" s="89"/>
      <c r="B16" s="93"/>
      <c r="C16" s="114" t="str">
        <f t="array" ref="C16">ifs(and(isblank($A16),isblank($B16)),"", not(iserror(vlookup($A16&amp;$B16,'3) Release_Label'!$D:$D&amp;'3) Release_Label'!$E:$E,1,0))),vlookup($A16&amp;$B16,{'3) Release_Label'!$D:$D&amp;'3) Release_Label'!$E:$E,'3) Release_Label'!$F:$F},2,0),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D16" s="114" t="str">
        <f t="array" ref="D16">ifs(and(isblank($A16),isblank($B16)),"", not(iserror(vlookup($A16&amp;$B16,'3) Release_Label'!$D:$D&amp;'3) Release_Label'!$E:$E,1,0))),vlookup($A16&amp;$B16,{'3) Release_Label'!$D:$D&amp;'3) Release_Label'!$E:$E,'3) Release_Label'!$H:$H},2,0),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E16" s="128" t="str">
        <f t="shared" si="3"/>
        <v/>
      </c>
      <c r="G16" s="93"/>
      <c r="H16" s="133"/>
      <c r="J16" s="20"/>
      <c r="K16" s="94"/>
      <c r="L16" s="20"/>
      <c r="N16" s="20"/>
      <c r="O16" s="20"/>
      <c r="P16" s="20"/>
    </row>
    <row r="17">
      <c r="A17" s="89"/>
      <c r="B17" s="93"/>
      <c r="C17" s="114" t="str">
        <f t="array" ref="C17">ifs(and(isblank($A17),isblank($B17)),"", not(iserror(vlookup($A17&amp;$B17,'3) Release_Label'!$D:$D&amp;'3) Release_Label'!$E:$E,1,0))),vlookup($A17&amp;$B17,{'3) Release_Label'!$D:$D&amp;'3) Release_Label'!$E:$E,'3) Release_Label'!$F:$F},2,0),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D17" s="114" t="str">
        <f t="array" ref="D17">ifs(and(isblank($A17),isblank($B17)),"", not(iserror(vlookup($A17&amp;$B17,'3) Release_Label'!$D:$D&amp;'3) Release_Label'!$E:$E,1,0))),vlookup($A17&amp;$B17,{'3) Release_Label'!$D:$D&amp;'3) Release_Label'!$E:$E,'3) Release_Label'!$H:$H},2,0),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E17" s="128" t="str">
        <f t="shared" si="3"/>
        <v/>
      </c>
      <c r="G17" s="93"/>
      <c r="H17" s="133"/>
      <c r="J17" s="20"/>
      <c r="K17" s="94"/>
      <c r="L17" s="20"/>
      <c r="N17" s="20"/>
      <c r="O17" s="20"/>
      <c r="P17" s="20"/>
    </row>
    <row r="18">
      <c r="A18" s="89"/>
      <c r="B18" s="93"/>
      <c r="C18" s="114" t="str">
        <f t="array" ref="C18">ifs(and(isblank($A18),isblank($B18)),"", not(iserror(vlookup($A18&amp;$B18,'3) Release_Label'!$D:$D&amp;'3) Release_Label'!$E:$E,1,0))),vlookup($A18&amp;$B18,{'3) Release_Label'!$D:$D&amp;'3) Release_Label'!$E:$E,'3) Release_Label'!$F:$F},2,0),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D18" s="114" t="str">
        <f t="array" ref="D18">ifs(and(isblank($A18),isblank($B18)),"", not(iserror(vlookup($A18&amp;$B18,'3) Release_Label'!$D:$D&amp;'3) Release_Label'!$E:$E,1,0))),vlookup($A18&amp;$B18,{'3) Release_Label'!$D:$D&amp;'3) Release_Label'!$E:$E,'3) Release_Label'!$H:$H},2,0),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E18" s="128" t="str">
        <f t="shared" si="3"/>
        <v/>
      </c>
      <c r="G18" s="93"/>
      <c r="H18" s="133"/>
      <c r="J18" s="20"/>
      <c r="K18" s="94"/>
      <c r="L18" s="20"/>
      <c r="N18" s="20"/>
      <c r="O18" s="20"/>
      <c r="P18" s="20"/>
    </row>
    <row r="19">
      <c r="A19" s="89"/>
      <c r="B19" s="93"/>
      <c r="C19" s="114" t="str">
        <f t="array" ref="C19">ifs(and(isblank($A19),isblank($B19)),"", not(iserror(vlookup($A19&amp;$B19,'3) Release_Label'!$D:$D&amp;'3) Release_Label'!$E:$E,1,0))),vlookup($A19&amp;$B19,{'3) Release_Label'!$D:$D&amp;'3) Release_Label'!$E:$E,'3) Release_Label'!$F:$F},2,0),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D19" s="114" t="str">
        <f t="array" ref="D19">ifs(and(isblank($A19),isblank($B19)),"", not(iserror(vlookup($A19&amp;$B19,'3) Release_Label'!$D:$D&amp;'3) Release_Label'!$E:$E,1,0))),vlookup($A19&amp;$B19,{'3) Release_Label'!$D:$D&amp;'3) Release_Label'!$E:$E,'3) Release_Label'!$H:$H},2,0),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E19" s="128" t="str">
        <f t="shared" si="3"/>
        <v/>
      </c>
      <c r="G19" s="93"/>
      <c r="H19" s="133"/>
      <c r="J19" s="20"/>
      <c r="K19" s="94"/>
      <c r="L19" s="20"/>
      <c r="N19" s="20"/>
      <c r="O19" s="20"/>
      <c r="P19" s="20"/>
    </row>
    <row r="20">
      <c r="A20" s="89"/>
      <c r="B20" s="93"/>
      <c r="C20" s="114" t="str">
        <f t="array" ref="C20">ifs(and(isblank($A20),isblank($B20)),"", not(iserror(vlookup($A20&amp;$B20,'3) Release_Label'!$D:$D&amp;'3) Release_Label'!$E:$E,1,0))),vlookup($A20&amp;$B20,{'3) Release_Label'!$D:$D&amp;'3) Release_Label'!$E:$E,'3) Release_Label'!$F:$F},2,0),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D20" s="114" t="str">
        <f t="array" ref="D20">ifs(and(isblank($A20),isblank($B20)),"", not(iserror(vlookup($A20&amp;$B20,'3) Release_Label'!$D:$D&amp;'3) Release_Label'!$E:$E,1,0))),vlookup($A20&amp;$B20,{'3) Release_Label'!$D:$D&amp;'3) Release_Label'!$E:$E,'3) Release_Label'!$H:$H},2,0),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E20" s="128" t="str">
        <f t="shared" si="3"/>
        <v/>
      </c>
      <c r="G20" s="93"/>
      <c r="H20" s="133"/>
      <c r="J20" s="20"/>
      <c r="K20" s="94"/>
      <c r="L20" s="20"/>
      <c r="N20" s="20"/>
      <c r="O20" s="20"/>
      <c r="P20" s="20"/>
    </row>
    <row r="21">
      <c r="A21" s="89"/>
      <c r="B21" s="93"/>
      <c r="C21" s="114" t="str">
        <f t="array" ref="C21">ifs(and(isblank($A21),isblank($B21)),"", not(iserror(vlookup($A21&amp;$B21,'3) Release_Label'!$D:$D&amp;'3) Release_Label'!$E:$E,1,0))),vlookup($A21&amp;$B21,{'3) Release_Label'!$D:$D&amp;'3) Release_Label'!$E:$E,'3) Release_Label'!$F:$F},2,0),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D21" s="114" t="str">
        <f t="array" ref="D21">ifs(and(isblank($A21),isblank($B21)),"", not(iserror(vlookup($A21&amp;$B21,'3) Release_Label'!$D:$D&amp;'3) Release_Label'!$E:$E,1,0))),vlookup($A21&amp;$B21,{'3) Release_Label'!$D:$D&amp;'3) Release_Label'!$E:$E,'3) Release_Label'!$H:$H},2,0),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E21" s="128" t="str">
        <f t="shared" si="3"/>
        <v/>
      </c>
      <c r="G21" s="93"/>
      <c r="H21" s="133"/>
      <c r="J21" s="20"/>
      <c r="K21" s="94"/>
      <c r="L21" s="20"/>
      <c r="N21" s="20"/>
      <c r="O21" s="20"/>
      <c r="P21" s="20"/>
    </row>
    <row r="22">
      <c r="A22" s="89"/>
      <c r="B22" s="93"/>
      <c r="C22" s="114" t="str">
        <f t="array" ref="C22">ifs(and(isblank($A22),isblank($B22)),"", not(iserror(vlookup($A22&amp;$B22,'3) Release_Label'!$D:$D&amp;'3) Release_Label'!$E:$E,1,0))),vlookup($A22&amp;$B22,{'3) Release_Label'!$D:$D&amp;'3) Release_Label'!$E:$E,'3) Release_Label'!$F:$F},2,0),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D22" s="114" t="str">
        <f t="array" ref="D22">ifs(and(isblank($A22),isblank($B22)),"", not(iserror(vlookup($A22&amp;$B22,'3) Release_Label'!$D:$D&amp;'3) Release_Label'!$E:$E,1,0))),vlookup($A22&amp;$B22,{'3) Release_Label'!$D:$D&amp;'3) Release_Label'!$E:$E,'3) Release_Label'!$H:$H},2,0),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E22" s="128" t="str">
        <f t="shared" si="3"/>
        <v/>
      </c>
      <c r="G22" s="93"/>
      <c r="H22" s="133"/>
      <c r="J22" s="20"/>
      <c r="K22" s="94"/>
      <c r="L22" s="20"/>
      <c r="N22" s="20"/>
      <c r="O22" s="20"/>
      <c r="P22" s="20"/>
    </row>
    <row r="23">
      <c r="A23" s="89"/>
      <c r="B23" s="93"/>
      <c r="C23" s="114" t="str">
        <f t="array" ref="C23">ifs(and(isblank($A23),isblank($B23)),"", not(iserror(vlookup($A23&amp;$B23,'3) Release_Label'!$D:$D&amp;'3) Release_Label'!$E:$E,1,0))),vlookup($A23&amp;$B23,{'3) Release_Label'!$D:$D&amp;'3) Release_Label'!$E:$E,'3) Release_Label'!$F:$F},2,0),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D23" s="114" t="str">
        <f t="array" ref="D23">ifs(and(isblank($A23),isblank($B23)),"", not(iserror(vlookup($A23&amp;$B23,'3) Release_Label'!$D:$D&amp;'3) Release_Label'!$E:$E,1,0))),vlookup($A23&amp;$B23,{'3) Release_Label'!$D:$D&amp;'3) Release_Label'!$E:$E,'3) Release_Label'!$H:$H},2,0),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E23" s="128" t="str">
        <f t="shared" si="3"/>
        <v/>
      </c>
      <c r="G23" s="93"/>
      <c r="H23" s="133"/>
      <c r="J23" s="20"/>
      <c r="K23" s="94"/>
      <c r="L23" s="20"/>
      <c r="N23" s="20"/>
      <c r="O23" s="20"/>
      <c r="P23" s="20"/>
    </row>
    <row r="24">
      <c r="A24" s="89"/>
      <c r="B24" s="93"/>
      <c r="C24" s="114" t="str">
        <f t="array" ref="C24">ifs(and(isblank($A24),isblank($B24)),"", not(iserror(vlookup($A24&amp;$B24,'3) Release_Label'!$D:$D&amp;'3) Release_Label'!$E:$E,1,0))),vlookup($A24&amp;$B24,{'3) Release_Label'!$D:$D&amp;'3) Release_Label'!$E:$E,'3) Release_Label'!$F:$F},2,0),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D24" s="114" t="str">
        <f t="array" ref="D24">ifs(and(isblank($A24),isblank($B24)),"", not(iserror(vlookup($A24&amp;$B24,'3) Release_Label'!$D:$D&amp;'3) Release_Label'!$E:$E,1,0))),vlookup($A24&amp;$B24,{'3) Release_Label'!$D:$D&amp;'3) Release_Label'!$E:$E,'3) Release_Label'!$H:$H},2,0),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E24" s="128" t="str">
        <f t="shared" si="3"/>
        <v/>
      </c>
      <c r="G24" s="93"/>
      <c r="H24" s="133"/>
      <c r="J24" s="20"/>
      <c r="K24" s="94"/>
      <c r="L24" s="20"/>
      <c r="N24" s="20"/>
      <c r="O24" s="20"/>
      <c r="P24" s="20"/>
    </row>
    <row r="25">
      <c r="A25" s="89"/>
      <c r="B25" s="93"/>
      <c r="C25" s="114" t="str">
        <f t="array" ref="C25">ifs(and(isblank($A25),isblank($B25)),"", not(iserror(vlookup($A25&amp;$B25,'3) Release_Label'!$D:$D&amp;'3) Release_Label'!$E:$E,1,0))),vlookup($A25&amp;$B25,{'3) Release_Label'!$D:$D&amp;'3) Release_Label'!$E:$E,'3) Release_Label'!$F:$F},2,0),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D25" s="114" t="str">
        <f t="array" ref="D25">ifs(and(isblank($A25),isblank($B25)),"", not(iserror(vlookup($A25&amp;$B25,'3) Release_Label'!$D:$D&amp;'3) Release_Label'!$E:$E,1,0))),vlookup($A25&amp;$B25,{'3) Release_Label'!$D:$D&amp;'3) Release_Label'!$E:$E,'3) Release_Label'!$H:$H},2,0),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E25" s="128" t="str">
        <f t="shared" si="3"/>
        <v/>
      </c>
      <c r="G25" s="93"/>
      <c r="H25" s="133"/>
      <c r="J25" s="20"/>
      <c r="K25" s="94"/>
      <c r="L25" s="20"/>
      <c r="N25" s="20"/>
      <c r="O25" s="20"/>
      <c r="P25" s="20"/>
    </row>
    <row r="26">
      <c r="A26" s="89"/>
      <c r="B26" s="93"/>
      <c r="C26" s="114" t="str">
        <f t="array" ref="C26">ifs(and(isblank($A26),isblank($B26)),"", not(iserror(vlookup($A26&amp;$B26,'3) Release_Label'!$D:$D&amp;'3) Release_Label'!$E:$E,1,0))),vlookup($A26&amp;$B26,{'3) Release_Label'!$D:$D&amp;'3) Release_Label'!$E:$E,'3) Release_Label'!$F:$F},2,0),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D26" s="114" t="str">
        <f t="array" ref="D26">ifs(and(isblank($A26),isblank($B26)),"", not(iserror(vlookup($A26&amp;$B26,'3) Release_Label'!$D:$D&amp;'3) Release_Label'!$E:$E,1,0))),vlookup($A26&amp;$B26,{'3) Release_Label'!$D:$D&amp;'3) Release_Label'!$E:$E,'3) Release_Label'!$H:$H},2,0),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E26" s="128" t="str">
        <f t="shared" si="3"/>
        <v/>
      </c>
      <c r="G26" s="93"/>
      <c r="H26" s="133"/>
      <c r="J26" s="20"/>
      <c r="K26" s="94"/>
      <c r="L26" s="20"/>
      <c r="N26" s="20"/>
      <c r="O26" s="20"/>
      <c r="P26" s="20"/>
    </row>
    <row r="27">
      <c r="A27" s="89"/>
      <c r="B27" s="93"/>
      <c r="C27" s="114" t="str">
        <f t="array" ref="C27">ifs(and(isblank($A27),isblank($B27)),"", not(iserror(vlookup($A27&amp;$B27,'3) Release_Label'!$D:$D&amp;'3) Release_Label'!$E:$E,1,0))),vlookup($A27&amp;$B27,{'3) Release_Label'!$D:$D&amp;'3) Release_Label'!$E:$E,'3) Release_Label'!$F:$F},2,0),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D27" s="114" t="str">
        <f t="array" ref="D27">ifs(and(isblank($A27),isblank($B27)),"", not(iserror(vlookup($A27&amp;$B27,'3) Release_Label'!$D:$D&amp;'3) Release_Label'!$E:$E,1,0))),vlookup($A27&amp;$B27,{'3) Release_Label'!$D:$D&amp;'3) Release_Label'!$E:$E,'3) Release_Label'!$H:$H},2,0),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E27" s="128" t="str">
        <f t="shared" si="3"/>
        <v/>
      </c>
      <c r="G27" s="93"/>
      <c r="H27" s="133"/>
      <c r="J27" s="20"/>
      <c r="K27" s="94"/>
      <c r="L27" s="20"/>
      <c r="N27" s="20"/>
      <c r="O27" s="20"/>
      <c r="P27" s="20"/>
    </row>
    <row r="28">
      <c r="A28" s="89"/>
      <c r="B28" s="93"/>
      <c r="C28" s="114" t="str">
        <f t="array" ref="C28">ifs(and(isblank($A28),isblank($B28)),"", not(iserror(vlookup($A28&amp;$B28,'3) Release_Label'!$D:$D&amp;'3) Release_Label'!$E:$E,1,0))),vlookup($A28&amp;$B28,{'3) Release_Label'!$D:$D&amp;'3) Release_Label'!$E:$E,'3) Release_Label'!$F:$F},2,0),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D28" s="114" t="str">
        <f t="array" ref="D28">ifs(and(isblank($A28),isblank($B28)),"", not(iserror(vlookup($A28&amp;$B28,'3) Release_Label'!$D:$D&amp;'3) Release_Label'!$E:$E,1,0))),vlookup($A28&amp;$B28,{'3) Release_Label'!$D:$D&amp;'3) Release_Label'!$E:$E,'3) Release_Label'!$H:$H},2,0),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E28" s="128" t="str">
        <f t="shared" si="3"/>
        <v/>
      </c>
      <c r="G28" s="93"/>
      <c r="H28" s="133"/>
      <c r="J28" s="20"/>
      <c r="K28" s="94"/>
      <c r="L28" s="20"/>
      <c r="N28" s="20"/>
      <c r="O28" s="20"/>
      <c r="P28" s="20"/>
    </row>
    <row r="29">
      <c r="A29" s="89"/>
      <c r="B29" s="93"/>
      <c r="C29" s="114" t="str">
        <f t="array" ref="C29">ifs(and(isblank($A29),isblank($B29)),"", not(iserror(vlookup($A29&amp;$B29,'3) Release_Label'!$D:$D&amp;'3) Release_Label'!$E:$E,1,0))),vlookup($A29&amp;$B29,{'3) Release_Label'!$D:$D&amp;'3) Release_Label'!$E:$E,'3) Release_Label'!$F:$F},2,0),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D29" s="114" t="str">
        <f t="array" ref="D29">ifs(and(isblank($A29),isblank($B29)),"", not(iserror(vlookup($A29&amp;$B29,'3) Release_Label'!$D:$D&amp;'3) Release_Label'!$E:$E,1,0))),vlookup($A29&amp;$B29,{'3) Release_Label'!$D:$D&amp;'3) Release_Label'!$E:$E,'3) Release_Label'!$H:$H},2,0),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E29" s="128" t="str">
        <f t="shared" si="3"/>
        <v/>
      </c>
      <c r="G29" s="93"/>
      <c r="H29" s="133"/>
      <c r="J29" s="20"/>
      <c r="K29" s="94"/>
      <c r="L29" s="20"/>
      <c r="N29" s="20"/>
      <c r="O29" s="20"/>
      <c r="P29" s="20"/>
    </row>
    <row r="30">
      <c r="A30" s="89"/>
      <c r="B30" s="93"/>
      <c r="C30" s="114" t="str">
        <f t="array" ref="C30">ifs(and(isblank($A30),isblank($B30)),"", not(iserror(vlookup($A30&amp;$B30,'3) Release_Label'!$D:$D&amp;'3) Release_Label'!$E:$E,1,0))),vlookup($A30&amp;$B30,{'3) Release_Label'!$D:$D&amp;'3) Release_Label'!$E:$E,'3) Release_Label'!$F:$F},2,0),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D30" s="114" t="str">
        <f t="array" ref="D30">ifs(and(isblank($A30),isblank($B30)),"", not(iserror(vlookup($A30&amp;$B30,'3) Release_Label'!$D:$D&amp;'3) Release_Label'!$E:$E,1,0))),vlookup($A30&amp;$B30,{'3) Release_Label'!$D:$D&amp;'3) Release_Label'!$E:$E,'3) Release_Label'!$H:$H},2,0),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E30" s="128" t="str">
        <f t="shared" si="3"/>
        <v/>
      </c>
      <c r="G30" s="93"/>
      <c r="H30" s="133"/>
      <c r="J30" s="20"/>
      <c r="K30" s="94"/>
      <c r="L30" s="20"/>
      <c r="N30" s="20"/>
      <c r="O30" s="20"/>
      <c r="P30" s="20"/>
    </row>
    <row r="31">
      <c r="A31" s="89"/>
      <c r="B31" s="93"/>
      <c r="C31" s="114" t="str">
        <f t="array" ref="C31">ifs(and(isblank($A31),isblank($B31)),"", not(iserror(vlookup($A31&amp;$B31,'3) Release_Label'!$D:$D&amp;'3) Release_Label'!$E:$E,1,0))),vlookup($A31&amp;$B31,{'3) Release_Label'!$D:$D&amp;'3) Release_Label'!$E:$E,'3) Release_Label'!$F:$F},2,0),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D31" s="114" t="str">
        <f t="array" ref="D31">ifs(and(isblank($A31),isblank($B31)),"", not(iserror(vlookup($A31&amp;$B31,'3) Release_Label'!$D:$D&amp;'3) Release_Label'!$E:$E,1,0))),vlookup($A31&amp;$B31,{'3) Release_Label'!$D:$D&amp;'3) Release_Label'!$E:$E,'3) Release_Label'!$H:$H},2,0),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E31" s="128" t="str">
        <f t="shared" si="3"/>
        <v/>
      </c>
      <c r="G31" s="93"/>
      <c r="H31" s="133"/>
      <c r="J31" s="20"/>
      <c r="K31" s="94"/>
      <c r="L31" s="20"/>
      <c r="N31" s="20"/>
      <c r="O31" s="20"/>
      <c r="P31" s="20"/>
    </row>
    <row r="32">
      <c r="A32" s="89"/>
      <c r="B32" s="93"/>
      <c r="C32" s="114" t="str">
        <f t="array" ref="C32">ifs(and(isblank($A32),isblank($B32)),"", not(iserror(vlookup($A32&amp;$B32,'3) Release_Label'!$D:$D&amp;'3) Release_Label'!$E:$E,1,0))),vlookup($A32&amp;$B32,{'3) Release_Label'!$D:$D&amp;'3) Release_Label'!$E:$E,'3) Release_Label'!$F:$F},2,0),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D32" s="114" t="str">
        <f t="array" ref="D32">ifs(and(isblank($A32),isblank($B32)),"", not(iserror(vlookup($A32&amp;$B32,'3) Release_Label'!$D:$D&amp;'3) Release_Label'!$E:$E,1,0))),vlookup($A32&amp;$B32,{'3) Release_Label'!$D:$D&amp;'3) Release_Label'!$E:$E,'3) Release_Label'!$H:$H},2,0),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E32" s="128" t="str">
        <f t="shared" si="3"/>
        <v/>
      </c>
      <c r="G32" s="93"/>
      <c r="H32" s="133"/>
      <c r="J32" s="20"/>
      <c r="K32" s="94"/>
      <c r="L32" s="20"/>
      <c r="N32" s="20"/>
      <c r="O32" s="20"/>
      <c r="P32" s="20"/>
    </row>
    <row r="33">
      <c r="A33" s="89"/>
      <c r="B33" s="93"/>
      <c r="C33" s="114" t="str">
        <f t="array" ref="C33">ifs(and(isblank($A33),isblank($B33)),"", not(iserror(vlookup($A33&amp;$B33,'3) Release_Label'!$D:$D&amp;'3) Release_Label'!$E:$E,1,0))),vlookup($A33&amp;$B33,{'3) Release_Label'!$D:$D&amp;'3) Release_Label'!$E:$E,'3) Release_Label'!$F:$F},2,0),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D33" s="114" t="str">
        <f t="array" ref="D33">ifs(and(isblank($A33),isblank($B33)),"", not(iserror(vlookup($A33&amp;$B33,'3) Release_Label'!$D:$D&amp;'3) Release_Label'!$E:$E,1,0))),vlookup($A33&amp;$B33,{'3) Release_Label'!$D:$D&amp;'3) Release_Label'!$E:$E,'3) Release_Label'!$H:$H},2,0),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E33" s="128" t="str">
        <f t="shared" si="3"/>
        <v/>
      </c>
      <c r="G33" s="93"/>
      <c r="H33" s="133"/>
      <c r="J33" s="20"/>
      <c r="K33" s="94"/>
      <c r="L33" s="20"/>
      <c r="N33" s="20"/>
      <c r="O33" s="20"/>
      <c r="P33" s="20"/>
    </row>
    <row r="34">
      <c r="A34" s="89"/>
      <c r="B34" s="93"/>
      <c r="C34" s="114" t="str">
        <f t="array" ref="C34">ifs(and(isblank($A34),isblank($B34)),"", not(iserror(vlookup($A34&amp;$B34,'3) Release_Label'!$D:$D&amp;'3) Release_Label'!$E:$E,1,0))),vlookup($A34&amp;$B34,{'3) Release_Label'!$D:$D&amp;'3) Release_Label'!$E:$E,'3) Release_Label'!$F:$F},2,0),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D34" s="114" t="str">
        <f t="array" ref="D34">ifs(and(isblank($A34),isblank($B34)),"", not(iserror(vlookup($A34&amp;$B34,'3) Release_Label'!$D:$D&amp;'3) Release_Label'!$E:$E,1,0))),vlookup($A34&amp;$B34,{'3) Release_Label'!$D:$D&amp;'3) Release_Label'!$E:$E,'3) Release_Label'!$H:$H},2,0),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E34" s="128" t="str">
        <f t="shared" si="3"/>
        <v/>
      </c>
      <c r="G34" s="93"/>
      <c r="H34" s="133"/>
      <c r="J34" s="20"/>
      <c r="K34" s="94"/>
      <c r="L34" s="20"/>
      <c r="N34" s="20"/>
      <c r="O34" s="20"/>
      <c r="P34" s="20"/>
    </row>
    <row r="35">
      <c r="A35" s="89"/>
      <c r="B35" s="93"/>
      <c r="C35" s="114" t="str">
        <f t="array" ref="C35">ifs(and(isblank($A35),isblank($B35)),"", not(iserror(vlookup($A35&amp;$B35,'3) Release_Label'!$D:$D&amp;'3) Release_Label'!$E:$E,1,0))),vlookup($A35&amp;$B35,{'3) Release_Label'!$D:$D&amp;'3) Release_Label'!$E:$E,'3) Release_Label'!$F:$F},2,0),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D35" s="114" t="str">
        <f t="array" ref="D35">ifs(and(isblank($A35),isblank($B35)),"", not(iserror(vlookup($A35&amp;$B35,'3) Release_Label'!$D:$D&amp;'3) Release_Label'!$E:$E,1,0))),vlookup($A35&amp;$B35,{'3) Release_Label'!$D:$D&amp;'3) Release_Label'!$E:$E,'3) Release_Label'!$H:$H},2,0),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E35" s="128" t="str">
        <f t="shared" si="3"/>
        <v/>
      </c>
      <c r="G35" s="93"/>
      <c r="H35" s="133"/>
      <c r="J35" s="20"/>
      <c r="K35" s="94"/>
      <c r="L35" s="20"/>
      <c r="N35" s="20"/>
      <c r="O35" s="20"/>
      <c r="P35" s="20"/>
    </row>
    <row r="36">
      <c r="A36" s="89"/>
      <c r="B36" s="93"/>
      <c r="C36" s="114" t="str">
        <f t="array" ref="C36">ifs(and(isblank($A36),isblank($B36)),"", not(iserror(vlookup($A36&amp;$B36,'3) Release_Label'!$D:$D&amp;'3) Release_Label'!$E:$E,1,0))),vlookup($A36&amp;$B36,{'3) Release_Label'!$D:$D&amp;'3) Release_Label'!$E:$E,'3) Release_Label'!$F:$F},2,0),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D36" s="114" t="str">
        <f t="array" ref="D36">ifs(and(isblank($A36),isblank($B36)),"", not(iserror(vlookup($A36&amp;$B36,'3) Release_Label'!$D:$D&amp;'3) Release_Label'!$E:$E,1,0))),vlookup($A36&amp;$B36,{'3) Release_Label'!$D:$D&amp;'3) Release_Label'!$E:$E,'3) Release_Label'!$H:$H},2,0),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E36" s="128" t="str">
        <f t="shared" si="3"/>
        <v/>
      </c>
      <c r="G36" s="93"/>
      <c r="H36" s="133"/>
      <c r="J36" s="20"/>
      <c r="K36" s="94"/>
      <c r="L36" s="20"/>
      <c r="N36" s="20"/>
      <c r="O36" s="20"/>
      <c r="P36" s="20"/>
    </row>
    <row r="37">
      <c r="A37" s="89"/>
      <c r="B37" s="93"/>
      <c r="C37" s="114" t="str">
        <f t="array" ref="C37">ifs(and(isblank($A37),isblank($B37)),"", not(iserror(vlookup($A37&amp;$B37,'3) Release_Label'!$D:$D&amp;'3) Release_Label'!$E:$E,1,0))),vlookup($A37&amp;$B37,{'3) Release_Label'!$D:$D&amp;'3) Release_Label'!$E:$E,'3) Release_Label'!$F:$F},2,0),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D37" s="114" t="str">
        <f t="array" ref="D37">ifs(and(isblank($A37),isblank($B37)),"", not(iserror(vlookup($A37&amp;$B37,'3) Release_Label'!$D:$D&amp;'3) Release_Label'!$E:$E,1,0))),vlookup($A37&amp;$B37,{'3) Release_Label'!$D:$D&amp;'3) Release_Label'!$E:$E,'3) Release_Label'!$H:$H},2,0),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E37" s="128" t="str">
        <f t="shared" si="3"/>
        <v/>
      </c>
      <c r="G37" s="93"/>
      <c r="H37" s="133"/>
      <c r="J37" s="20"/>
      <c r="K37" s="94"/>
      <c r="L37" s="20"/>
      <c r="N37" s="20"/>
      <c r="O37" s="20"/>
      <c r="P37" s="20"/>
    </row>
    <row r="38">
      <c r="A38" s="89"/>
      <c r="B38" s="93"/>
      <c r="C38" s="114" t="str">
        <f t="array" ref="C38">ifs(and(isblank($A38),isblank($B38)),"", not(iserror(vlookup($A38&amp;$B38,'3) Release_Label'!$D:$D&amp;'3) Release_Label'!$E:$E,1,0))),vlookup($A38&amp;$B38,{'3) Release_Label'!$D:$D&amp;'3) Release_Label'!$E:$E,'3) Release_Label'!$F:$F},2,0),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D38" s="114" t="str">
        <f t="array" ref="D38">ifs(and(isblank($A38),isblank($B38)),"", not(iserror(vlookup($A38&amp;$B38,'3) Release_Label'!$D:$D&amp;'3) Release_Label'!$E:$E,1,0))),vlookup($A38&amp;$B38,{'3) Release_Label'!$D:$D&amp;'3) Release_Label'!$E:$E,'3) Release_Label'!$H:$H},2,0),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E38" s="128" t="str">
        <f t="shared" si="3"/>
        <v/>
      </c>
      <c r="G38" s="93"/>
      <c r="H38" s="133"/>
      <c r="J38" s="20"/>
      <c r="K38" s="94"/>
      <c r="L38" s="20"/>
      <c r="N38" s="20"/>
      <c r="O38" s="20"/>
      <c r="P38" s="20"/>
    </row>
    <row r="39">
      <c r="A39" s="89"/>
      <c r="B39" s="93"/>
      <c r="C39" s="114" t="str">
        <f t="array" ref="C39">ifs(and(isblank($A39),isblank($B39)),"", not(iserror(vlookup($A39&amp;$B39,'3) Release_Label'!$D:$D&amp;'3) Release_Label'!$E:$E,1,0))),vlookup($A39&amp;$B39,{'3) Release_Label'!$D:$D&amp;'3) Release_Label'!$E:$E,'3) Release_Label'!$F:$F},2,0),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D39" s="114" t="str">
        <f t="array" ref="D39">ifs(and(isblank($A39),isblank($B39)),"", not(iserror(vlookup($A39&amp;$B39,'3) Release_Label'!$D:$D&amp;'3) Release_Label'!$E:$E,1,0))),vlookup($A39&amp;$B39,{'3) Release_Label'!$D:$D&amp;'3) Release_Label'!$E:$E,'3) Release_Label'!$H:$H},2,0),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E39" s="128" t="str">
        <f t="shared" si="3"/>
        <v/>
      </c>
      <c r="G39" s="93"/>
      <c r="H39" s="133"/>
      <c r="J39" s="20"/>
      <c r="K39" s="94"/>
      <c r="L39" s="20"/>
      <c r="N39" s="20"/>
      <c r="O39" s="20"/>
      <c r="P39" s="20"/>
    </row>
    <row r="40">
      <c r="A40" s="89"/>
      <c r="B40" s="93"/>
      <c r="C40" s="114" t="str">
        <f t="array" ref="C40">ifs(and(isblank($A40),isblank($B40)),"", not(iserror(vlookup($A40&amp;$B40,'3) Release_Label'!$D:$D&amp;'3) Release_Label'!$E:$E,1,0))),vlookup($A40&amp;$B40,{'3) Release_Label'!$D:$D&amp;'3) Release_Label'!$E:$E,'3) Release_Label'!$F:$F},2,0),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D40" s="114" t="str">
        <f t="array" ref="D40">ifs(and(isblank($A40),isblank($B40)),"", not(iserror(vlookup($A40&amp;$B40,'3) Release_Label'!$D:$D&amp;'3) Release_Label'!$E:$E,1,0))),vlookup($A40&amp;$B40,{'3) Release_Label'!$D:$D&amp;'3) Release_Label'!$E:$E,'3) Release_Label'!$H:$H},2,0),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E40" s="128" t="str">
        <f t="shared" si="3"/>
        <v/>
      </c>
      <c r="G40" s="93"/>
      <c r="H40" s="133"/>
      <c r="J40" s="20"/>
      <c r="K40" s="94"/>
      <c r="L40" s="20"/>
      <c r="N40" s="20"/>
      <c r="O40" s="20"/>
      <c r="P40" s="20"/>
    </row>
    <row r="41">
      <c r="A41" s="89"/>
      <c r="B41" s="93"/>
      <c r="C41" s="114" t="str">
        <f t="array" ref="C41">ifs(and(isblank($A41),isblank($B41)),"", not(iserror(vlookup($A41&amp;$B41,'3) Release_Label'!$D:$D&amp;'3) Release_Label'!$E:$E,1,0))),vlookup($A41&amp;$B41,{'3) Release_Label'!$D:$D&amp;'3) Release_Label'!$E:$E,'3) Release_Label'!$F:$F},2,0),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D41" s="114" t="str">
        <f t="array" ref="D41">ifs(and(isblank($A41),isblank($B41)),"", not(iserror(vlookup($A41&amp;$B41,'3) Release_Label'!$D:$D&amp;'3) Release_Label'!$E:$E,1,0))),vlookup($A41&amp;$B41,{'3) Release_Label'!$D:$D&amp;'3) Release_Label'!$E:$E,'3) Release_Label'!$H:$H},2,0),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E41" s="128" t="str">
        <f t="shared" si="3"/>
        <v/>
      </c>
      <c r="G41" s="93"/>
      <c r="H41" s="133"/>
      <c r="J41" s="20"/>
      <c r="K41" s="94"/>
      <c r="L41" s="20"/>
      <c r="N41" s="20"/>
      <c r="O41" s="20"/>
      <c r="P41" s="20"/>
    </row>
    <row r="42">
      <c r="A42" s="89"/>
      <c r="B42" s="93"/>
      <c r="C42" s="114" t="str">
        <f t="array" ref="C42">ifs(and(isblank($A42),isblank($B42)),"", not(iserror(vlookup($A42&amp;$B42,'3) Release_Label'!$D:$D&amp;'3) Release_Label'!$E:$E,1,0))),vlookup($A42&amp;$B42,{'3) Release_Label'!$D:$D&amp;'3) Release_Label'!$E:$E,'3) Release_Label'!$F:$F},2,0),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D42" s="114" t="str">
        <f t="array" ref="D42">ifs(and(isblank($A42),isblank($B42)),"", not(iserror(vlookup($A42&amp;$B42,'3) Release_Label'!$D:$D&amp;'3) Release_Label'!$E:$E,1,0))),vlookup($A42&amp;$B42,{'3) Release_Label'!$D:$D&amp;'3) Release_Label'!$E:$E,'3) Release_Label'!$H:$H},2,0),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E42" s="128" t="str">
        <f t="shared" si="3"/>
        <v/>
      </c>
      <c r="G42" s="93"/>
      <c r="H42" s="133"/>
      <c r="J42" s="20"/>
      <c r="K42" s="94"/>
      <c r="L42" s="20"/>
      <c r="N42" s="20"/>
      <c r="O42" s="20"/>
      <c r="P42" s="20"/>
    </row>
    <row r="43">
      <c r="A43" s="89"/>
      <c r="B43" s="93"/>
      <c r="C43" s="114" t="str">
        <f t="array" ref="C43">ifs(and(isblank($A43),isblank($B43)),"", not(iserror(vlookup($A43&amp;$B43,'3) Release_Label'!$D:$D&amp;'3) Release_Label'!$E:$E,1,0))),vlookup($A43&amp;$B43,{'3) Release_Label'!$D:$D&amp;'3) Release_Label'!$E:$E,'3) Release_Label'!$F:$F},2,0),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D43" s="114" t="str">
        <f t="array" ref="D43">ifs(and(isblank($A43),isblank($B43)),"", not(iserror(vlookup($A43&amp;$B43,'3) Release_Label'!$D:$D&amp;'3) Release_Label'!$E:$E,1,0))),vlookup($A43&amp;$B43,{'3) Release_Label'!$D:$D&amp;'3) Release_Label'!$E:$E,'3) Release_Label'!$H:$H},2,0),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E43" s="128" t="str">
        <f t="shared" si="3"/>
        <v/>
      </c>
      <c r="G43" s="93"/>
      <c r="H43" s="133"/>
      <c r="J43" s="20"/>
      <c r="K43" s="94"/>
      <c r="L43" s="20"/>
      <c r="N43" s="20"/>
      <c r="O43" s="20"/>
      <c r="P43" s="20"/>
    </row>
    <row r="44">
      <c r="A44" s="89"/>
      <c r="B44" s="93"/>
      <c r="C44" s="114" t="str">
        <f t="array" ref="C44">ifs(and(isblank($A44),isblank($B44)),"", not(iserror(vlookup($A44&amp;$B44,'3) Release_Label'!$D:$D&amp;'3) Release_Label'!$E:$E,1,0))),vlookup($A44&amp;$B44,{'3) Release_Label'!$D:$D&amp;'3) Release_Label'!$E:$E,'3) Release_Label'!$F:$F},2,0),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D44" s="114" t="str">
        <f t="array" ref="D44">ifs(and(isblank($A44),isblank($B44)),"", not(iserror(vlookup($A44&amp;$B44,'3) Release_Label'!$D:$D&amp;'3) Release_Label'!$E:$E,1,0))),vlookup($A44&amp;$B44,{'3) Release_Label'!$D:$D&amp;'3) Release_Label'!$E:$E,'3) Release_Label'!$H:$H},2,0),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E44" s="128" t="str">
        <f t="shared" si="3"/>
        <v/>
      </c>
      <c r="G44" s="93"/>
      <c r="H44" s="133"/>
      <c r="J44" s="20"/>
      <c r="K44" s="94"/>
      <c r="L44" s="20"/>
      <c r="N44" s="20"/>
      <c r="O44" s="20"/>
      <c r="P44" s="20"/>
    </row>
    <row r="45">
      <c r="A45" s="89"/>
      <c r="B45" s="93"/>
      <c r="C45" s="114" t="str">
        <f t="array" ref="C45">ifs(and(isblank($A45),isblank($B45)),"", not(iserror(vlookup($A45&amp;$B45,'3) Release_Label'!$D:$D&amp;'3) Release_Label'!$E:$E,1,0))),vlookup($A45&amp;$B45,{'3) Release_Label'!$D:$D&amp;'3) Release_Label'!$E:$E,'3) Release_Label'!$F:$F},2,0),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D45" s="114" t="str">
        <f t="array" ref="D45">ifs(and(isblank($A45),isblank($B45)),"", not(iserror(vlookup($A45&amp;$B45,'3) Release_Label'!$D:$D&amp;'3) Release_Label'!$E:$E,1,0))),vlookup($A45&amp;$B45,{'3) Release_Label'!$D:$D&amp;'3) Release_Label'!$E:$E,'3) Release_Label'!$H:$H},2,0),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E45" s="128" t="str">
        <f t="shared" si="3"/>
        <v/>
      </c>
      <c r="G45" s="93"/>
      <c r="H45" s="133"/>
      <c r="J45" s="20"/>
      <c r="K45" s="94"/>
      <c r="L45" s="20"/>
      <c r="N45" s="20"/>
      <c r="O45" s="20"/>
      <c r="P45" s="20"/>
    </row>
    <row r="46">
      <c r="A46" s="89"/>
      <c r="B46" s="93"/>
      <c r="C46" s="114" t="str">
        <f t="array" ref="C46">ifs(and(isblank($A46),isblank($B46)),"", not(iserror(vlookup($A46&amp;$B46,'3) Release_Label'!$D:$D&amp;'3) Release_Label'!$E:$E,1,0))),vlookup($A46&amp;$B46,{'3) Release_Label'!$D:$D&amp;'3) Release_Label'!$E:$E,'3) Release_Label'!$F:$F},2,0),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D46" s="114" t="str">
        <f t="array" ref="D46">ifs(and(isblank($A46),isblank($B46)),"", not(iserror(vlookup($A46&amp;$B46,'3) Release_Label'!$D:$D&amp;'3) Release_Label'!$E:$E,1,0))),vlookup($A46&amp;$B46,{'3) Release_Label'!$D:$D&amp;'3) Release_Label'!$E:$E,'3) Release_Label'!$H:$H},2,0),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E46" s="128" t="str">
        <f t="shared" si="3"/>
        <v/>
      </c>
      <c r="G46" s="93"/>
      <c r="H46" s="133"/>
      <c r="J46" s="20"/>
      <c r="K46" s="94"/>
      <c r="L46" s="20"/>
      <c r="N46" s="20"/>
      <c r="O46" s="20"/>
      <c r="P46" s="20"/>
    </row>
    <row r="47">
      <c r="A47" s="89"/>
      <c r="B47" s="93"/>
      <c r="C47" s="114" t="str">
        <f t="array" ref="C47">ifs(and(isblank($A47),isblank($B47)),"", not(iserror(vlookup($A47&amp;$B47,'3) Release_Label'!$D:$D&amp;'3) Release_Label'!$E:$E,1,0))),vlookup($A47&amp;$B47,{'3) Release_Label'!$D:$D&amp;'3) Release_Label'!$E:$E,'3) Release_Label'!$F:$F},2,0),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D47" s="114" t="str">
        <f t="array" ref="D47">ifs(and(isblank($A47),isblank($B47)),"", not(iserror(vlookup($A47&amp;$B47,'3) Release_Label'!$D:$D&amp;'3) Release_Label'!$E:$E,1,0))),vlookup($A47&amp;$B47,{'3) Release_Label'!$D:$D&amp;'3) Release_Label'!$E:$E,'3) Release_Label'!$H:$H},2,0),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E47" s="128" t="str">
        <f t="shared" si="3"/>
        <v/>
      </c>
      <c r="G47" s="93"/>
      <c r="H47" s="133"/>
      <c r="J47" s="20"/>
      <c r="K47" s="94"/>
      <c r="L47" s="20"/>
      <c r="N47" s="20"/>
      <c r="O47" s="20"/>
      <c r="P47" s="20"/>
    </row>
    <row r="48">
      <c r="A48" s="89"/>
      <c r="B48" s="93"/>
      <c r="C48" s="114" t="str">
        <f t="array" ref="C48">ifs(and(isblank($A48),isblank($B48)),"", not(iserror(vlookup($A48&amp;$B48,'3) Release_Label'!$D:$D&amp;'3) Release_Label'!$E:$E,1,0))),vlookup($A48&amp;$B48,{'3) Release_Label'!$D:$D&amp;'3) Release_Label'!$E:$E,'3) Release_Label'!$F:$F},2,0),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D48" s="114" t="str">
        <f t="array" ref="D48">ifs(and(isblank($A48),isblank($B48)),"", not(iserror(vlookup($A48&amp;$B48,'3) Release_Label'!$D:$D&amp;'3) Release_Label'!$E:$E,1,0))),vlookup($A48&amp;$B48,{'3) Release_Label'!$D:$D&amp;'3) Release_Label'!$E:$E,'3) Release_Label'!$H:$H},2,0),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E48" s="128" t="str">
        <f t="shared" si="3"/>
        <v/>
      </c>
      <c r="G48" s="93"/>
      <c r="H48" s="133"/>
      <c r="J48" s="20"/>
      <c r="K48" s="94"/>
      <c r="L48" s="20"/>
      <c r="N48" s="20"/>
      <c r="O48" s="20"/>
      <c r="P48" s="20"/>
    </row>
    <row r="49">
      <c r="A49" s="89"/>
      <c r="B49" s="93"/>
      <c r="C49" s="114" t="str">
        <f t="array" ref="C49">ifs(and(isblank($A49),isblank($B49)),"", not(iserror(vlookup($A49&amp;$B49,'3) Release_Label'!$D:$D&amp;'3) Release_Label'!$E:$E,1,0))),vlookup($A49&amp;$B49,{'3) Release_Label'!$D:$D&amp;'3) Release_Label'!$E:$E,'3) Release_Label'!$F:$F},2,0),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D49" s="114" t="str">
        <f t="array" ref="D49">ifs(and(isblank($A49),isblank($B49)),"", not(iserror(vlookup($A49&amp;$B49,'3) Release_Label'!$D:$D&amp;'3) Release_Label'!$E:$E,1,0))),vlookup($A49&amp;$B49,{'3) Release_Label'!$D:$D&amp;'3) Release_Label'!$E:$E,'3) Release_Label'!$H:$H},2,0),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E49" s="128" t="str">
        <f t="shared" si="3"/>
        <v/>
      </c>
      <c r="G49" s="93"/>
      <c r="H49" s="133"/>
      <c r="J49" s="20"/>
      <c r="K49" s="94"/>
      <c r="L49" s="20"/>
      <c r="N49" s="20"/>
      <c r="O49" s="20"/>
      <c r="P49" s="20"/>
    </row>
    <row r="50">
      <c r="A50" s="89"/>
      <c r="B50" s="93"/>
      <c r="C50" s="114" t="str">
        <f t="array" ref="C50">ifs(and(isblank($A50),isblank($B50)),"", not(iserror(vlookup($A50&amp;$B50,'3) Release_Label'!$D:$D&amp;'3) Release_Label'!$E:$E,1,0))),vlookup($A50&amp;$B50,{'3) Release_Label'!$D:$D&amp;'3) Release_Label'!$E:$E,'3) Release_Label'!$F:$F},2,0),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D50" s="114" t="str">
        <f t="array" ref="D50">ifs(and(isblank($A50),isblank($B50)),"", not(iserror(vlookup($A50&amp;$B50,'3) Release_Label'!$D:$D&amp;'3) Release_Label'!$E:$E,1,0))),vlookup($A50&amp;$B50,{'3) Release_Label'!$D:$D&amp;'3) Release_Label'!$E:$E,'3) Release_Label'!$H:$H},2,0),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E50" s="128" t="str">
        <f t="shared" si="3"/>
        <v/>
      </c>
      <c r="G50" s="93"/>
      <c r="H50" s="133"/>
      <c r="J50" s="20"/>
      <c r="K50" s="94"/>
      <c r="L50" s="20"/>
      <c r="N50" s="20"/>
      <c r="O50" s="20"/>
      <c r="P50" s="20"/>
    </row>
    <row r="51">
      <c r="A51" s="89"/>
      <c r="B51" s="93"/>
      <c r="C51" s="114" t="str">
        <f t="array" ref="C51">ifs(and(isblank($A51),isblank($B51)),"", not(iserror(vlookup($A51&amp;$B51,'3) Release_Label'!$D:$D&amp;'3) Release_Label'!$E:$E,1,0))),vlookup($A51&amp;$B51,{'3) Release_Label'!$D:$D&amp;'3) Release_Label'!$E:$E,'3) Release_Label'!$F:$F},2,0),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D51" s="114" t="str">
        <f t="array" ref="D51">ifs(and(isblank($A51),isblank($B51)),"", not(iserror(vlookup($A51&amp;$B51,'3) Release_Label'!$D:$D&amp;'3) Release_Label'!$E:$E,1,0))),vlookup($A51&amp;$B51,{'3) Release_Label'!$D:$D&amp;'3) Release_Label'!$E:$E,'3) Release_Label'!$H:$H},2,0),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E51" s="128" t="str">
        <f t="shared" si="3"/>
        <v/>
      </c>
      <c r="G51" s="93"/>
      <c r="H51" s="133"/>
      <c r="J51" s="20"/>
      <c r="K51" s="94"/>
      <c r="L51" s="20"/>
      <c r="N51" s="20"/>
      <c r="O51" s="20"/>
      <c r="P51" s="20"/>
    </row>
    <row r="52">
      <c r="A52" s="89"/>
      <c r="B52" s="93"/>
      <c r="C52" s="114" t="str">
        <f t="array" ref="C52">ifs(and(isblank($A52),isblank($B52)),"", not(iserror(vlookup($A52&amp;$B52,'3) Release_Label'!$D:$D&amp;'3) Release_Label'!$E:$E,1,0))),vlookup($A52&amp;$B52,{'3) Release_Label'!$D:$D&amp;'3) Release_Label'!$E:$E,'3) Release_Label'!$F:$F},2,0),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D52" s="114" t="str">
        <f t="array" ref="D52">ifs(and(isblank($A52),isblank($B52)),"", not(iserror(vlookup($A52&amp;$B52,'3) Release_Label'!$D:$D&amp;'3) Release_Label'!$E:$E,1,0))),vlookup($A52&amp;$B52,{'3) Release_Label'!$D:$D&amp;'3) Release_Label'!$E:$E,'3) Release_Label'!$H:$H},2,0),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E52" s="128" t="str">
        <f t="shared" si="3"/>
        <v/>
      </c>
      <c r="G52" s="93"/>
      <c r="H52" s="133"/>
      <c r="J52" s="20"/>
      <c r="K52" s="94"/>
      <c r="L52" s="20"/>
      <c r="N52" s="20"/>
      <c r="O52" s="20"/>
      <c r="P52" s="20"/>
    </row>
    <row r="53">
      <c r="A53" s="89"/>
      <c r="B53" s="93"/>
      <c r="C53" s="114" t="str">
        <f t="array" ref="C53">ifs(and(isblank($A53),isblank($B53)),"", not(iserror(vlookup($A53&amp;$B53,'3) Release_Label'!$D:$D&amp;'3) Release_Label'!$E:$E,1,0))),vlookup($A53&amp;$B53,{'3) Release_Label'!$D:$D&amp;'3) Release_Label'!$E:$E,'3) Release_Label'!$F:$F},2,0),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D53" s="114" t="str">
        <f t="array" ref="D53">ifs(and(isblank($A53),isblank($B53)),"", not(iserror(vlookup($A53&amp;$B53,'3) Release_Label'!$D:$D&amp;'3) Release_Label'!$E:$E,1,0))),vlookup($A53&amp;$B53,{'3) Release_Label'!$D:$D&amp;'3) Release_Label'!$E:$E,'3) Release_Label'!$H:$H},2,0),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E53" s="128" t="str">
        <f t="shared" si="3"/>
        <v/>
      </c>
      <c r="G53" s="93"/>
      <c r="H53" s="133"/>
      <c r="J53" s="20"/>
      <c r="K53" s="94"/>
      <c r="L53" s="20"/>
      <c r="N53" s="20"/>
      <c r="O53" s="20"/>
      <c r="P53" s="20"/>
    </row>
    <row r="54">
      <c r="A54" s="89"/>
      <c r="B54" s="93"/>
      <c r="C54" s="114" t="str">
        <f t="array" ref="C54">ifs(and(isblank($A54),isblank($B54)),"", not(iserror(vlookup($A54&amp;$B54,'3) Release_Label'!$D:$D&amp;'3) Release_Label'!$E:$E,1,0))),vlookup($A54&amp;$B54,{'3) Release_Label'!$D:$D&amp;'3) Release_Label'!$E:$E,'3) Release_Label'!$F:$F},2,0),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D54" s="114" t="str">
        <f t="array" ref="D54">ifs(and(isblank($A54),isblank($B54)),"", not(iserror(vlookup($A54&amp;$B54,'3) Release_Label'!$D:$D&amp;'3) Release_Label'!$E:$E,1,0))),vlookup($A54&amp;$B54,{'3) Release_Label'!$D:$D&amp;'3) Release_Label'!$E:$E,'3) Release_Label'!$H:$H},2,0),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E54" s="128" t="str">
        <f t="shared" si="3"/>
        <v/>
      </c>
      <c r="G54" s="93"/>
      <c r="H54" s="133"/>
      <c r="J54" s="20"/>
      <c r="K54" s="94"/>
      <c r="L54" s="20"/>
      <c r="N54" s="20"/>
      <c r="O54" s="20"/>
      <c r="P54" s="20"/>
    </row>
    <row r="55">
      <c r="A55" s="89"/>
      <c r="B55" s="93"/>
      <c r="C55" s="114" t="str">
        <f t="array" ref="C55">ifs(and(isblank($A55),isblank($B55)),"", not(iserror(vlookup($A55&amp;$B55,'3) Release_Label'!$D:$D&amp;'3) Release_Label'!$E:$E,1,0))),vlookup($A55&amp;$B55,{'3) Release_Label'!$D:$D&amp;'3) Release_Label'!$E:$E,'3) Release_Label'!$F:$F},2,0),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D55" s="114" t="str">
        <f t="array" ref="D55">ifs(and(isblank($A55),isblank($B55)),"", not(iserror(vlookup($A55&amp;$B55,'3) Release_Label'!$D:$D&amp;'3) Release_Label'!$E:$E,1,0))),vlookup($A55&amp;$B55,{'3) Release_Label'!$D:$D&amp;'3) Release_Label'!$E:$E,'3) Release_Label'!$H:$H},2,0),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E55" s="128" t="str">
        <f t="shared" si="3"/>
        <v/>
      </c>
      <c r="G55" s="93"/>
      <c r="H55" s="133"/>
      <c r="J55" s="20"/>
      <c r="K55" s="94"/>
      <c r="L55" s="20"/>
      <c r="N55" s="20"/>
      <c r="O55" s="20"/>
      <c r="P55" s="20"/>
    </row>
    <row r="56">
      <c r="A56" s="89"/>
      <c r="B56" s="93"/>
      <c r="C56" s="114" t="str">
        <f t="array" ref="C56">ifs(and(isblank($A56),isblank($B56)),"", not(iserror(vlookup($A56&amp;$B56,'3) Release_Label'!$D:$D&amp;'3) Release_Label'!$E:$E,1,0))),vlookup($A56&amp;$B56,{'3) Release_Label'!$D:$D&amp;'3) Release_Label'!$E:$E,'3) Release_Label'!$F:$F},2,0),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D56" s="114" t="str">
        <f t="array" ref="D56">ifs(and(isblank($A56),isblank($B56)),"", not(iserror(vlookup($A56&amp;$B56,'3) Release_Label'!$D:$D&amp;'3) Release_Label'!$E:$E,1,0))),vlookup($A56&amp;$B56,{'3) Release_Label'!$D:$D&amp;'3) Release_Label'!$E:$E,'3) Release_Label'!$H:$H},2,0),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E56" s="128" t="str">
        <f t="shared" si="3"/>
        <v/>
      </c>
      <c r="G56" s="93"/>
      <c r="H56" s="133"/>
      <c r="J56" s="20"/>
      <c r="K56" s="94"/>
      <c r="L56" s="20"/>
      <c r="N56" s="20"/>
      <c r="O56" s="20"/>
      <c r="P56" s="20"/>
    </row>
    <row r="57">
      <c r="A57" s="89"/>
      <c r="B57" s="93"/>
      <c r="C57" s="114" t="str">
        <f t="array" ref="C57">ifs(and(isblank($A57),isblank($B57)),"", not(iserror(vlookup($A57&amp;$B57,'3) Release_Label'!$D:$D&amp;'3) Release_Label'!$E:$E,1,0))),vlookup($A57&amp;$B57,{'3) Release_Label'!$D:$D&amp;'3) Release_Label'!$E:$E,'3) Release_Label'!$F:$F},2,0),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D57" s="114" t="str">
        <f t="array" ref="D57">ifs(and(isblank($A57),isblank($B57)),"", not(iserror(vlookup($A57&amp;$B57,'3) Release_Label'!$D:$D&amp;'3) Release_Label'!$E:$E,1,0))),vlookup($A57&amp;$B57,{'3) Release_Label'!$D:$D&amp;'3) Release_Label'!$E:$E,'3) Release_Label'!$H:$H},2,0),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E57" s="128" t="str">
        <f t="shared" si="3"/>
        <v/>
      </c>
      <c r="G57" s="93"/>
      <c r="H57" s="133"/>
      <c r="J57" s="20"/>
      <c r="K57" s="94"/>
      <c r="L57" s="20"/>
      <c r="N57" s="20"/>
      <c r="O57" s="20"/>
      <c r="P57" s="20"/>
    </row>
    <row r="58">
      <c r="A58" s="28"/>
      <c r="B58" s="93"/>
      <c r="C58" s="114" t="str">
        <f t="array" ref="C58">ifs(and(isblank($A58),isblank($B58)),"", not(iserror(vlookup($A58&amp;$B58,'3) Release_Label'!$D:$D&amp;'3) Release_Label'!$E:$E,1,0))),vlookup($A58&amp;$B58,{'3) Release_Label'!$D:$D&amp;'3) Release_Label'!$E:$E,'3) Release_Label'!$F:$F},2,0),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D58" s="114" t="str">
        <f t="array" ref="D58">ifs(and(isblank($A58),isblank($B58)),"", not(iserror(vlookup($A58&amp;$B58,'3) Release_Label'!$D:$D&amp;'3) Release_Label'!$E:$E,1,0))),vlookup($A58&amp;$B58,{'3) Release_Label'!$D:$D&amp;'3) Release_Label'!$E:$E,'3) Release_Label'!$H:$H},2,0),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E58" s="128" t="str">
        <f t="shared" si="3"/>
        <v/>
      </c>
      <c r="G58" s="93"/>
      <c r="H58" s="133"/>
      <c r="J58" s="20"/>
      <c r="K58" s="94"/>
      <c r="L58" s="20"/>
      <c r="N58" s="20"/>
      <c r="O58" s="20"/>
      <c r="P58" s="20"/>
    </row>
    <row r="59">
      <c r="A59" s="28"/>
      <c r="B59" s="93"/>
      <c r="C59" s="114" t="str">
        <f t="array" ref="C59">ifs(and(isblank($A59),isblank($B59)),"", not(iserror(vlookup($A59&amp;$B59,'3) Release_Label'!$D:$D&amp;'3) Release_Label'!$E:$E,1,0))),vlookup($A59&amp;$B59,{'3) Release_Label'!$D:$D&amp;'3) Release_Label'!$E:$E,'3) Release_Label'!$F:$F},2,0),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D59" s="114" t="str">
        <f t="array" ref="D59">ifs(and(isblank($A59),isblank($B59)),"", not(iserror(vlookup($A59&amp;$B59,'3) Release_Label'!$D:$D&amp;'3) Release_Label'!$E:$E,1,0))),vlookup($A59&amp;$B59,{'3) Release_Label'!$D:$D&amp;'3) Release_Label'!$E:$E,'3) Release_Label'!$H:$H},2,0),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E59" s="128" t="str">
        <f t="shared" si="3"/>
        <v/>
      </c>
      <c r="G59" s="93"/>
      <c r="H59" s="133"/>
      <c r="J59" s="20"/>
      <c r="K59" s="94"/>
      <c r="L59" s="20"/>
      <c r="N59" s="20"/>
      <c r="O59" s="20"/>
      <c r="P59" s="20"/>
    </row>
    <row r="60">
      <c r="A60" s="28"/>
      <c r="B60" s="93"/>
      <c r="C60" s="114" t="str">
        <f t="array" ref="C60">ifs(and(isblank($A60),isblank($B60)),"", not(iserror(vlookup($A60&amp;$B60,'3) Release_Label'!$D:$D&amp;'3) Release_Label'!$E:$E,1,0))),vlookup($A60&amp;$B60,{'3) Release_Label'!$D:$D&amp;'3) Release_Label'!$E:$E,'3) Release_Label'!$F:$F},2,0),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D60" s="114" t="str">
        <f t="array" ref="D60">ifs(and(isblank($A60),isblank($B60)),"", not(iserror(vlookup($A60&amp;$B60,'3) Release_Label'!$D:$D&amp;'3) Release_Label'!$E:$E,1,0))),vlookup($A60&amp;$B60,{'3) Release_Label'!$D:$D&amp;'3) Release_Label'!$E:$E,'3) Release_Label'!$H:$H},2,0),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E60" s="128" t="str">
        <f t="shared" si="3"/>
        <v/>
      </c>
      <c r="G60" s="93"/>
      <c r="H60" s="133"/>
      <c r="J60" s="20"/>
      <c r="K60" s="94"/>
      <c r="L60" s="20"/>
      <c r="N60" s="20"/>
      <c r="O60" s="20"/>
      <c r="P60" s="20"/>
    </row>
    <row r="61">
      <c r="A61" s="28"/>
      <c r="B61" s="93"/>
      <c r="C61" s="114" t="str">
        <f t="array" ref="C61">ifs(and(isblank($A61),isblank($B61)),"", not(iserror(vlookup($A61&amp;$B61,'3) Release_Label'!$D:$D&amp;'3) Release_Label'!$E:$E,1,0))),vlookup($A61&amp;$B61,{'3) Release_Label'!$D:$D&amp;'3) Release_Label'!$E:$E,'3) Release_Label'!$F:$F},2,0),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D61" s="114" t="str">
        <f t="array" ref="D61">ifs(and(isblank($A61),isblank($B61)),"", not(iserror(vlookup($A61&amp;$B61,'3) Release_Label'!$D:$D&amp;'3) Release_Label'!$E:$E,1,0))),vlookup($A61&amp;$B61,{'3) Release_Label'!$D:$D&amp;'3) Release_Label'!$E:$E,'3) Release_Label'!$H:$H},2,0),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E61" s="128" t="str">
        <f t="shared" si="3"/>
        <v/>
      </c>
      <c r="G61" s="93"/>
      <c r="H61" s="133"/>
      <c r="J61" s="20"/>
      <c r="K61" s="94"/>
      <c r="L61" s="20"/>
      <c r="N61" s="20"/>
      <c r="O61" s="20"/>
      <c r="P61" s="20"/>
    </row>
    <row r="62">
      <c r="A62" s="28"/>
      <c r="B62" s="93"/>
      <c r="C62" s="114" t="str">
        <f t="array" ref="C62">ifs(and(isblank($A62),isblank($B62)),"", not(iserror(vlookup($A62&amp;$B62,'3) Release_Label'!$D:$D&amp;'3) Release_Label'!$E:$E,1,0))),vlookup($A62&amp;$B62,{'3) Release_Label'!$D:$D&amp;'3) Release_Label'!$E:$E,'3) Release_Label'!$F:$F},2,0),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D62" s="114" t="str">
        <f t="array" ref="D62">ifs(and(isblank($A62),isblank($B62)),"", not(iserror(vlookup($A62&amp;$B62,'3) Release_Label'!$D:$D&amp;'3) Release_Label'!$E:$E,1,0))),vlookup($A62&amp;$B62,{'3) Release_Label'!$D:$D&amp;'3) Release_Label'!$E:$E,'3) Release_Label'!$H:$H},2,0),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E62" s="128" t="str">
        <f t="shared" si="3"/>
        <v/>
      </c>
      <c r="G62" s="93"/>
      <c r="H62" s="133"/>
      <c r="J62" s="20"/>
      <c r="K62" s="94"/>
      <c r="L62" s="20"/>
      <c r="N62" s="20"/>
      <c r="O62" s="20"/>
      <c r="P62" s="20"/>
    </row>
    <row r="63">
      <c r="A63" s="28"/>
      <c r="B63" s="93"/>
      <c r="C63" s="114" t="str">
        <f t="array" ref="C63">ifs(and(isblank($A63),isblank($B63)),"", not(iserror(vlookup($A63&amp;$B63,'3) Release_Label'!$D:$D&amp;'3) Release_Label'!$E:$E,1,0))),vlookup($A63&amp;$B63,{'3) Release_Label'!$D:$D&amp;'3) Release_Label'!$E:$E,'3) Release_Label'!$F:$F},2,0),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D63" s="114" t="str">
        <f t="array" ref="D63">ifs(and(isblank($A63),isblank($B63)),"", not(iserror(vlookup($A63&amp;$B63,'3) Release_Label'!$D:$D&amp;'3) Release_Label'!$E:$E,1,0))),vlookup($A63&amp;$B63,{'3) Release_Label'!$D:$D&amp;'3) Release_Label'!$E:$E,'3) Release_Label'!$H:$H},2,0),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E63" s="128" t="str">
        <f t="shared" si="3"/>
        <v/>
      </c>
      <c r="G63" s="93"/>
      <c r="H63" s="133"/>
      <c r="J63" s="20"/>
      <c r="K63" s="94"/>
      <c r="L63" s="20"/>
      <c r="N63" s="20"/>
      <c r="O63" s="20"/>
      <c r="P63" s="20"/>
    </row>
    <row r="64">
      <c r="A64" s="28"/>
      <c r="B64" s="93"/>
      <c r="C64" s="114" t="str">
        <f t="array" ref="C64">ifs(and(isblank($A64),isblank($B64)),"", not(iserror(vlookup($A64&amp;$B64,'3) Release_Label'!$D:$D&amp;'3) Release_Label'!$E:$E,1,0))),vlookup($A64&amp;$B64,{'3) Release_Label'!$D:$D&amp;'3) Release_Label'!$E:$E,'3) Release_Label'!$F:$F},2,0),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D64" s="114" t="str">
        <f t="array" ref="D64">ifs(and(isblank($A64),isblank($B64)),"", not(iserror(vlookup($A64&amp;$B64,'3) Release_Label'!$D:$D&amp;'3) Release_Label'!$E:$E,1,0))),vlookup($A64&amp;$B64,{'3) Release_Label'!$D:$D&amp;'3) Release_Label'!$E:$E,'3) Release_Label'!$H:$H},2,0),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E64" s="128" t="str">
        <f t="shared" si="3"/>
        <v/>
      </c>
      <c r="G64" s="93"/>
      <c r="H64" s="133"/>
      <c r="J64" s="20"/>
      <c r="K64" s="94"/>
      <c r="L64" s="20"/>
      <c r="N64" s="20"/>
      <c r="O64" s="20"/>
      <c r="P64" s="20"/>
    </row>
    <row r="65">
      <c r="A65" s="28"/>
      <c r="B65" s="93"/>
      <c r="C65" s="114" t="str">
        <f t="array" ref="C65">ifs(and(isblank($A65),isblank($B65)),"", not(iserror(vlookup($A65&amp;$B65,'3) Release_Label'!$D:$D&amp;'3) Release_Label'!$E:$E,1,0))),vlookup($A65&amp;$B65,{'3) Release_Label'!$D:$D&amp;'3) Release_Label'!$E:$E,'3) Release_Label'!$F:$F},2,0),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D65" s="114" t="str">
        <f t="array" ref="D65">ifs(and(isblank($A65),isblank($B65)),"", not(iserror(vlookup($A65&amp;$B65,'3) Release_Label'!$D:$D&amp;'3) Release_Label'!$E:$E,1,0))),vlookup($A65&amp;$B65,{'3) Release_Label'!$D:$D&amp;'3) Release_Label'!$E:$E,'3) Release_Label'!$H:$H},2,0),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E65" s="128" t="str">
        <f t="shared" si="3"/>
        <v/>
      </c>
      <c r="G65" s="93"/>
      <c r="H65" s="133"/>
      <c r="J65" s="20"/>
      <c r="K65" s="94"/>
      <c r="L65" s="20"/>
      <c r="N65" s="20"/>
      <c r="O65" s="20"/>
      <c r="P65" s="20"/>
    </row>
    <row r="66">
      <c r="A66" s="28"/>
      <c r="B66" s="93"/>
      <c r="C66" s="114" t="str">
        <f t="array" ref="C66">ifs(and(isblank($A66),isblank($B66)),"", not(iserror(vlookup($A66&amp;$B66,'3) Release_Label'!$D:$D&amp;'3) Release_Label'!$E:$E,1,0))),vlookup($A66&amp;$B66,{'3) Release_Label'!$D:$D&amp;'3) Release_Label'!$E:$E,'3) Release_Label'!$F:$F},2,0),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D66" s="114" t="str">
        <f t="array" ref="D66">ifs(and(isblank($A66),isblank($B66)),"", not(iserror(vlookup($A66&amp;$B66,'3) Release_Label'!$D:$D&amp;'3) Release_Label'!$E:$E,1,0))),vlookup($A66&amp;$B66,{'3) Release_Label'!$D:$D&amp;'3) Release_Label'!$E:$E,'3) Release_Label'!$H:$H},2,0),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E66" s="128" t="str">
        <f t="shared" si="3"/>
        <v/>
      </c>
      <c r="G66" s="93"/>
      <c r="H66" s="133"/>
      <c r="J66" s="20"/>
      <c r="K66" s="94"/>
      <c r="L66" s="20"/>
      <c r="N66" s="20"/>
      <c r="O66" s="20"/>
      <c r="P66" s="20"/>
    </row>
    <row r="67">
      <c r="A67" s="28"/>
      <c r="B67" s="93"/>
      <c r="C67" s="114" t="str">
        <f t="array" ref="C67">ifs(and(isblank($A67),isblank($B67)),"", not(iserror(vlookup($A67&amp;$B67,'3) Release_Label'!$D:$D&amp;'3) Release_Label'!$E:$E,1,0))),vlookup($A67&amp;$B67,{'3) Release_Label'!$D:$D&amp;'3) Release_Label'!$E:$E,'3) Release_Label'!$F:$F},2,0),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D67" s="114" t="str">
        <f t="array" ref="D67">ifs(and(isblank($A67),isblank($B67)),"", not(iserror(vlookup($A67&amp;$B67,'3) Release_Label'!$D:$D&amp;'3) Release_Label'!$E:$E,1,0))),vlookup($A67&amp;$B67,{'3) Release_Label'!$D:$D&amp;'3) Release_Label'!$E:$E,'3) Release_Label'!$H:$H},2,0),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E67" s="128" t="str">
        <f t="shared" si="3"/>
        <v/>
      </c>
      <c r="G67" s="93"/>
      <c r="H67" s="133"/>
      <c r="J67" s="20"/>
      <c r="K67" s="94"/>
      <c r="L67" s="20"/>
      <c r="N67" s="20"/>
      <c r="O67" s="20"/>
      <c r="P67" s="20"/>
    </row>
    <row r="68">
      <c r="A68" s="28"/>
      <c r="B68" s="93"/>
      <c r="C68" s="114" t="str">
        <f t="array" ref="C68">ifs(and(isblank($A68),isblank($B68)),"", not(iserror(vlookup($A68&amp;$B68,'3) Release_Label'!$D:$D&amp;'3) Release_Label'!$E:$E,1,0))),vlookup($A68&amp;$B68,{'3) Release_Label'!$D:$D&amp;'3) Release_Label'!$E:$E,'3) Release_Label'!$F:$F},2,0),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D68" s="114" t="str">
        <f t="array" ref="D68">ifs(and(isblank($A68),isblank($B68)),"", not(iserror(vlookup($A68&amp;$B68,'3) Release_Label'!$D:$D&amp;'3) Release_Label'!$E:$E,1,0))),vlookup($A68&amp;$B68,{'3) Release_Label'!$D:$D&amp;'3) Release_Label'!$E:$E,'3) Release_Label'!$H:$H},2,0),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E68" s="128" t="str">
        <f t="shared" si="3"/>
        <v/>
      </c>
      <c r="G68" s="93"/>
      <c r="H68" s="133"/>
      <c r="J68" s="20"/>
      <c r="K68" s="94"/>
      <c r="L68" s="20"/>
      <c r="N68" s="20"/>
      <c r="O68" s="20"/>
      <c r="P68" s="20"/>
    </row>
    <row r="69">
      <c r="A69" s="28"/>
      <c r="B69" s="93"/>
      <c r="C69" s="114" t="str">
        <f t="array" ref="C69">ifs(and(isblank($A69),isblank($B69)),"", not(iserror(vlookup($A69&amp;$B69,'3) Release_Label'!$D:$D&amp;'3) Release_Label'!$E:$E,1,0))),vlookup($A69&amp;$B69,{'3) Release_Label'!$D:$D&amp;'3) Release_Label'!$E:$E,'3) Release_Label'!$F:$F},2,0),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D69" s="114" t="str">
        <f t="array" ref="D69">ifs(and(isblank($A69),isblank($B69)),"", not(iserror(vlookup($A69&amp;$B69,'3) Release_Label'!$D:$D&amp;'3) Release_Label'!$E:$E,1,0))),vlookup($A69&amp;$B69,{'3) Release_Label'!$D:$D&amp;'3) Release_Label'!$E:$E,'3) Release_Label'!$H:$H},2,0),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E69" s="128" t="str">
        <f t="shared" si="3"/>
        <v/>
      </c>
      <c r="G69" s="93"/>
      <c r="H69" s="133"/>
      <c r="J69" s="20"/>
      <c r="K69" s="94"/>
      <c r="L69" s="20"/>
      <c r="N69" s="20"/>
      <c r="O69" s="20"/>
      <c r="P69" s="20"/>
    </row>
    <row r="70">
      <c r="A70" s="28"/>
      <c r="B70" s="93"/>
      <c r="C70" s="114" t="str">
        <f t="array" ref="C70">ifs(and(isblank($A70),isblank($B70)),"", not(iserror(vlookup($A70&amp;$B70,'3) Release_Label'!$D:$D&amp;'3) Release_Label'!$E:$E,1,0))),vlookup($A70&amp;$B70,{'3) Release_Label'!$D:$D&amp;'3) Release_Label'!$E:$E,'3) Release_Label'!$F:$F},2,0),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D70" s="114" t="str">
        <f t="array" ref="D70">ifs(and(isblank($A70),isblank($B70)),"", not(iserror(vlookup($A70&amp;$B70,'3) Release_Label'!$D:$D&amp;'3) Release_Label'!$E:$E,1,0))),vlookup($A70&amp;$B70,{'3) Release_Label'!$D:$D&amp;'3) Release_Label'!$E:$E,'3) Release_Label'!$H:$H},2,0),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E70" s="128" t="str">
        <f t="shared" si="3"/>
        <v/>
      </c>
      <c r="G70" s="93"/>
      <c r="H70" s="133"/>
      <c r="J70" s="20"/>
      <c r="K70" s="94"/>
      <c r="L70" s="20"/>
      <c r="N70" s="20"/>
      <c r="O70" s="20"/>
      <c r="P70" s="20"/>
    </row>
    <row r="71">
      <c r="A71" s="28"/>
      <c r="B71" s="93"/>
      <c r="C71" s="114" t="str">
        <f t="array" ref="C71">ifs(and(isblank($A71),isblank($B71)),"", not(iserror(vlookup($A71&amp;$B71,'3) Release_Label'!$D:$D&amp;'3) Release_Label'!$E:$E,1,0))),vlookup($A71&amp;$B71,{'3) Release_Label'!$D:$D&amp;'3) Release_Label'!$E:$E,'3) Release_Label'!$F:$F},2,0),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D71" s="114" t="str">
        <f t="array" ref="D71">ifs(and(isblank($A71),isblank($B71)),"", not(iserror(vlookup($A71&amp;$B71,'3) Release_Label'!$D:$D&amp;'3) Release_Label'!$E:$E,1,0))),vlookup($A71&amp;$B71,{'3) Release_Label'!$D:$D&amp;'3) Release_Label'!$E:$E,'3) Release_Label'!$H:$H},2,0),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E71" s="128" t="str">
        <f t="shared" si="3"/>
        <v/>
      </c>
      <c r="G71" s="93"/>
      <c r="H71" s="133"/>
      <c r="J71" s="20"/>
      <c r="K71" s="94"/>
      <c r="L71" s="20"/>
      <c r="N71" s="20"/>
      <c r="O71" s="20"/>
      <c r="P71" s="20"/>
    </row>
    <row r="72">
      <c r="A72" s="28"/>
      <c r="B72" s="93"/>
      <c r="C72" s="114" t="str">
        <f t="array" ref="C72">ifs(and(isblank($A72),isblank($B72)),"", not(iserror(vlookup($A72&amp;$B72,'3) Release_Label'!$D:$D&amp;'3) Release_Label'!$E:$E,1,0))),vlookup($A72&amp;$B72,{'3) Release_Label'!$D:$D&amp;'3) Release_Label'!$E:$E,'3) Release_Label'!$F:$F},2,0),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D72" s="114" t="str">
        <f t="array" ref="D72">ifs(and(isblank($A72),isblank($B72)),"", not(iserror(vlookup($A72&amp;$B72,'3) Release_Label'!$D:$D&amp;'3) Release_Label'!$E:$E,1,0))),vlookup($A72&amp;$B72,{'3) Release_Label'!$D:$D&amp;'3) Release_Label'!$E:$E,'3) Release_Label'!$H:$H},2,0),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E72" s="128" t="str">
        <f t="shared" si="3"/>
        <v/>
      </c>
      <c r="G72" s="93"/>
      <c r="H72" s="133"/>
      <c r="J72" s="20"/>
      <c r="K72" s="94"/>
      <c r="L72" s="20"/>
      <c r="N72" s="20"/>
      <c r="O72" s="20"/>
      <c r="P72" s="20"/>
    </row>
    <row r="73">
      <c r="A73" s="28"/>
      <c r="B73" s="93"/>
      <c r="C73" s="114" t="str">
        <f t="array" ref="C73">ifs(and(isblank($A73),isblank($B73)),"", not(iserror(vlookup($A73&amp;$B73,'3) Release_Label'!$D:$D&amp;'3) Release_Label'!$E:$E,1,0))),vlookup($A73&amp;$B73,{'3) Release_Label'!$D:$D&amp;'3) Release_Label'!$E:$E,'3) Release_Label'!$F:$F},2,0),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D73" s="114" t="str">
        <f t="array" ref="D73">ifs(and(isblank($A73),isblank($B73)),"", not(iserror(vlookup($A73&amp;$B73,'3) Release_Label'!$D:$D&amp;'3) Release_Label'!$E:$E,1,0))),vlookup($A73&amp;$B73,{'3) Release_Label'!$D:$D&amp;'3) Release_Label'!$E:$E,'3) Release_Label'!$H:$H},2,0),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E73" s="128" t="str">
        <f t="shared" si="3"/>
        <v/>
      </c>
      <c r="G73" s="93"/>
      <c r="H73" s="133"/>
      <c r="J73" s="20"/>
      <c r="K73" s="94"/>
      <c r="L73" s="20"/>
      <c r="N73" s="20"/>
      <c r="O73" s="20"/>
      <c r="P73" s="20"/>
    </row>
    <row r="74">
      <c r="A74" s="28"/>
      <c r="B74" s="93"/>
      <c r="C74" s="114" t="str">
        <f t="array" ref="C74">ifs(and(isblank($A74),isblank($B74)),"", not(iserror(vlookup($A74&amp;$B74,'3) Release_Label'!$D:$D&amp;'3) Release_Label'!$E:$E,1,0))),vlookup($A74&amp;$B74,{'3) Release_Label'!$D:$D&amp;'3) Release_Label'!$E:$E,'3) Release_Label'!$F:$F},2,0),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D74" s="114" t="str">
        <f t="array" ref="D74">ifs(and(isblank($A74),isblank($B74)),"", not(iserror(vlookup($A74&amp;$B74,'3) Release_Label'!$D:$D&amp;'3) Release_Label'!$E:$E,1,0))),vlookup($A74&amp;$B74,{'3) Release_Label'!$D:$D&amp;'3) Release_Label'!$E:$E,'3) Release_Label'!$H:$H},2,0),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E74" s="128" t="str">
        <f t="shared" si="3"/>
        <v/>
      </c>
      <c r="G74" s="93"/>
      <c r="H74" s="133"/>
      <c r="J74" s="20"/>
      <c r="K74" s="94"/>
      <c r="L74" s="20"/>
      <c r="N74" s="20"/>
      <c r="O74" s="20"/>
      <c r="P74" s="20"/>
    </row>
    <row r="75">
      <c r="A75" s="28"/>
      <c r="B75" s="93"/>
      <c r="C75" s="114" t="str">
        <f t="array" ref="C75">ifs(and(isblank($A75),isblank($B75)),"", not(iserror(vlookup($A75&amp;$B75,'3) Release_Label'!$D:$D&amp;'3) Release_Label'!$E:$E,1,0))),vlookup($A75&amp;$B75,{'3) Release_Label'!$D:$D&amp;'3) Release_Label'!$E:$E,'3) Release_Label'!$F:$F},2,0),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D75" s="114" t="str">
        <f t="array" ref="D75">ifs(and(isblank($A75),isblank($B75)),"", not(iserror(vlookup($A75&amp;$B75,'3) Release_Label'!$D:$D&amp;'3) Release_Label'!$E:$E,1,0))),vlookup($A75&amp;$B75,{'3) Release_Label'!$D:$D&amp;'3) Release_Label'!$E:$E,'3) Release_Label'!$H:$H},2,0),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E75" s="128" t="str">
        <f t="shared" si="3"/>
        <v/>
      </c>
      <c r="G75" s="93"/>
      <c r="H75" s="133"/>
      <c r="J75" s="20"/>
      <c r="K75" s="94"/>
      <c r="L75" s="20"/>
      <c r="N75" s="20"/>
      <c r="O75" s="20"/>
      <c r="P75" s="20"/>
    </row>
    <row r="76">
      <c r="A76" s="28"/>
      <c r="B76" s="93"/>
      <c r="C76" s="114" t="str">
        <f t="array" ref="C76">ifs(and(isblank($A76),isblank($B76)),"", not(iserror(vlookup($A76&amp;$B76,'3) Release_Label'!$D:$D&amp;'3) Release_Label'!$E:$E,1,0))),vlookup($A76&amp;$B76,{'3) Release_Label'!$D:$D&amp;'3) Release_Label'!$E:$E,'3) Release_Label'!$F:$F},2,0),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D76" s="114" t="str">
        <f t="array" ref="D76">ifs(and(isblank($A76),isblank($B76)),"", not(iserror(vlookup($A76&amp;$B76,'3) Release_Label'!$D:$D&amp;'3) Release_Label'!$E:$E,1,0))),vlookup($A76&amp;$B76,{'3) Release_Label'!$D:$D&amp;'3) Release_Label'!$E:$E,'3) Release_Label'!$H:$H},2,0),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E76" s="128" t="str">
        <f t="shared" si="3"/>
        <v/>
      </c>
      <c r="G76" s="93"/>
      <c r="H76" s="133"/>
      <c r="J76" s="20"/>
      <c r="K76" s="94"/>
      <c r="L76" s="20"/>
      <c r="N76" s="20"/>
      <c r="O76" s="20"/>
      <c r="P76" s="20"/>
    </row>
    <row r="77">
      <c r="A77" s="28"/>
      <c r="B77" s="93"/>
      <c r="C77" s="114" t="str">
        <f t="array" ref="C77">ifs(and(isblank($A77),isblank($B77)),"", not(iserror(vlookup($A77&amp;$B77,'3) Release_Label'!$D:$D&amp;'3) Release_Label'!$E:$E,1,0))),vlookup($A77&amp;$B77,{'3) Release_Label'!$D:$D&amp;'3) Release_Label'!$E:$E,'3) Release_Label'!$F:$F},2,0),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D77" s="114" t="str">
        <f t="array" ref="D77">ifs(and(isblank($A77),isblank($B77)),"", not(iserror(vlookup($A77&amp;$B77,'3) Release_Label'!$D:$D&amp;'3) Release_Label'!$E:$E,1,0))),vlookup($A77&amp;$B77,{'3) Release_Label'!$D:$D&amp;'3) Release_Label'!$E:$E,'3) Release_Label'!$H:$H},2,0),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E77" s="128" t="str">
        <f t="shared" si="3"/>
        <v/>
      </c>
      <c r="G77" s="93"/>
      <c r="H77" s="133"/>
      <c r="J77" s="20"/>
      <c r="K77" s="94"/>
      <c r="L77" s="20"/>
      <c r="N77" s="20"/>
      <c r="O77" s="20"/>
      <c r="P77" s="20"/>
    </row>
    <row r="78">
      <c r="A78" s="28"/>
      <c r="B78" s="93"/>
      <c r="C78" s="114" t="str">
        <f t="array" ref="C78">ifs(and(isblank($A78),isblank($B78)),"", not(iserror(vlookup($A78&amp;$B78,'3) Release_Label'!$D:$D&amp;'3) Release_Label'!$E:$E,1,0))),vlookup($A78&amp;$B78,{'3) Release_Label'!$D:$D&amp;'3) Release_Label'!$E:$E,'3) Release_Label'!$F:$F},2,0),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D78" s="114" t="str">
        <f t="array" ref="D78">ifs(and(isblank($A78),isblank($B78)),"", not(iserror(vlookup($A78&amp;$B78,'3) Release_Label'!$D:$D&amp;'3) Release_Label'!$E:$E,1,0))),vlookup($A78&amp;$B78,{'3) Release_Label'!$D:$D&amp;'3) Release_Label'!$E:$E,'3) Release_Label'!$H:$H},2,0),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E78" s="128" t="str">
        <f t="shared" si="3"/>
        <v/>
      </c>
      <c r="G78" s="93"/>
      <c r="H78" s="133"/>
      <c r="J78" s="20"/>
      <c r="K78" s="94"/>
      <c r="L78" s="20"/>
      <c r="N78" s="20"/>
      <c r="O78" s="20"/>
      <c r="P78" s="20"/>
    </row>
    <row r="79">
      <c r="A79" s="28"/>
      <c r="B79" s="93"/>
      <c r="C79" s="114" t="str">
        <f t="array" ref="C79">ifs(and(isblank($A79),isblank($B79)),"", not(iserror(vlookup($A79&amp;$B79,'3) Release_Label'!$D:$D&amp;'3) Release_Label'!$E:$E,1,0))),vlookup($A79&amp;$B79,{'3) Release_Label'!$D:$D&amp;'3) Release_Label'!$E:$E,'3) Release_Label'!$F:$F},2,0),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D79" s="114" t="str">
        <f t="array" ref="D79">ifs(and(isblank($A79),isblank($B79)),"", not(iserror(vlookup($A79&amp;$B79,'3) Release_Label'!$D:$D&amp;'3) Release_Label'!$E:$E,1,0))),vlookup($A79&amp;$B79,{'3) Release_Label'!$D:$D&amp;'3) Release_Label'!$E:$E,'3) Release_Label'!$H:$H},2,0),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E79" s="128" t="str">
        <f t="shared" si="3"/>
        <v/>
      </c>
      <c r="G79" s="93"/>
      <c r="H79" s="133"/>
      <c r="J79" s="20"/>
      <c r="K79" s="94"/>
      <c r="L79" s="20"/>
      <c r="N79" s="20"/>
      <c r="O79" s="20"/>
      <c r="P79" s="20"/>
    </row>
    <row r="80">
      <c r="A80" s="28"/>
      <c r="B80" s="93"/>
      <c r="C80" s="114" t="str">
        <f t="array" ref="C80">ifs(and(isblank($A80),isblank($B80)),"", not(iserror(vlookup($A80&amp;$B80,'3) Release_Label'!$D:$D&amp;'3) Release_Label'!$E:$E,1,0))),vlookup($A80&amp;$B80,{'3) Release_Label'!$D:$D&amp;'3) Release_Label'!$E:$E,'3) Release_Label'!$F:$F},2,0),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D80" s="114" t="str">
        <f t="array" ref="D80">ifs(and(isblank($A80),isblank($B80)),"", not(iserror(vlookup($A80&amp;$B80,'3) Release_Label'!$D:$D&amp;'3) Release_Label'!$E:$E,1,0))),vlookup($A80&amp;$B80,{'3) Release_Label'!$D:$D&amp;'3) Release_Label'!$E:$E,'3) Release_Label'!$H:$H},2,0),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E80" s="128" t="str">
        <f t="shared" si="3"/>
        <v/>
      </c>
      <c r="G80" s="93"/>
      <c r="H80" s="133"/>
      <c r="J80" s="20"/>
      <c r="K80" s="94"/>
      <c r="L80" s="20"/>
      <c r="N80" s="20"/>
      <c r="O80" s="20"/>
      <c r="P80" s="20"/>
    </row>
    <row r="81">
      <c r="A81" s="28"/>
      <c r="B81" s="93"/>
      <c r="C81" s="114" t="str">
        <f t="array" ref="C81">ifs(and(isblank($A81),isblank($B81)),"", not(iserror(vlookup($A81&amp;$B81,'3) Release_Label'!$D:$D&amp;'3) Release_Label'!$E:$E,1,0))),vlookup($A81&amp;$B81,{'3) Release_Label'!$D:$D&amp;'3) Release_Label'!$E:$E,'3) Release_Label'!$F:$F},2,0),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D81" s="114" t="str">
        <f t="array" ref="D81">ifs(and(isblank($A81),isblank($B81)),"", not(iserror(vlookup($A81&amp;$B81,'3) Release_Label'!$D:$D&amp;'3) Release_Label'!$E:$E,1,0))),vlookup($A81&amp;$B81,{'3) Release_Label'!$D:$D&amp;'3) Release_Label'!$E:$E,'3) Release_Label'!$H:$H},2,0),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E81" s="128" t="str">
        <f t="shared" si="3"/>
        <v/>
      </c>
      <c r="G81" s="93"/>
      <c r="H81" s="133"/>
      <c r="J81" s="20"/>
      <c r="K81" s="94"/>
      <c r="L81" s="20"/>
      <c r="N81" s="20"/>
      <c r="O81" s="20"/>
      <c r="P81" s="20"/>
    </row>
    <row r="82">
      <c r="A82" s="28"/>
      <c r="B82" s="93"/>
      <c r="C82" s="114" t="str">
        <f t="array" ref="C82">ifs(and(isblank($A82),isblank($B82)),"", not(iserror(vlookup($A82&amp;$B82,'3) Release_Label'!$D:$D&amp;'3) Release_Label'!$E:$E,1,0))),vlookup($A82&amp;$B82,{'3) Release_Label'!$D:$D&amp;'3) Release_Label'!$E:$E,'3) Release_Label'!$F:$F},2,0),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D82" s="114" t="str">
        <f t="array" ref="D82">ifs(and(isblank($A82),isblank($B82)),"", not(iserror(vlookup($A82&amp;$B82,'3) Release_Label'!$D:$D&amp;'3) Release_Label'!$E:$E,1,0))),vlookup($A82&amp;$B82,{'3) Release_Label'!$D:$D&amp;'3) Release_Label'!$E:$E,'3) Release_Label'!$H:$H},2,0),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E82" s="128" t="str">
        <f t="shared" si="3"/>
        <v/>
      </c>
      <c r="G82" s="93"/>
      <c r="H82" s="133"/>
      <c r="J82" s="20"/>
      <c r="K82" s="94"/>
      <c r="L82" s="20"/>
      <c r="N82" s="20"/>
      <c r="O82" s="20"/>
      <c r="P82" s="20"/>
    </row>
    <row r="83">
      <c r="A83" s="28"/>
      <c r="B83" s="93"/>
      <c r="C83" s="114" t="str">
        <f t="array" ref="C83">ifs(and(isblank($A83),isblank($B83)),"", not(iserror(vlookup($A83&amp;$B83,'3) Release_Label'!$D:$D&amp;'3) Release_Label'!$E:$E,1,0))),vlookup($A83&amp;$B83,{'3) Release_Label'!$D:$D&amp;'3) Release_Label'!$E:$E,'3) Release_Label'!$F:$F},2,0),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D83" s="114" t="str">
        <f t="array" ref="D83">ifs(and(isblank($A83),isblank($B83)),"", not(iserror(vlookup($A83&amp;$B83,'3) Release_Label'!$D:$D&amp;'3) Release_Label'!$E:$E,1,0))),vlookup($A83&amp;$B83,{'3) Release_Label'!$D:$D&amp;'3) Release_Label'!$E:$E,'3) Release_Label'!$H:$H},2,0),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E83" s="128" t="str">
        <f t="shared" si="3"/>
        <v/>
      </c>
      <c r="G83" s="93"/>
      <c r="H83" s="133"/>
      <c r="J83" s="20"/>
      <c r="K83" s="94"/>
      <c r="L83" s="20"/>
      <c r="N83" s="20"/>
      <c r="O83" s="20"/>
      <c r="P83" s="20"/>
    </row>
    <row r="84">
      <c r="A84" s="28"/>
      <c r="B84" s="93"/>
      <c r="C84" s="114" t="str">
        <f t="array" ref="C84">ifs(and(isblank($A84),isblank($B84)),"", not(iserror(vlookup($A84&amp;$B84,'3) Release_Label'!$D:$D&amp;'3) Release_Label'!$E:$E,1,0))),vlookup($A84&amp;$B84,{'3) Release_Label'!$D:$D&amp;'3) Release_Label'!$E:$E,'3) Release_Label'!$F:$F},2,0),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D84" s="114" t="str">
        <f t="array" ref="D84">ifs(and(isblank($A84),isblank($B84)),"", not(iserror(vlookup($A84&amp;$B84,'3) Release_Label'!$D:$D&amp;'3) Release_Label'!$E:$E,1,0))),vlookup($A84&amp;$B84,{'3) Release_Label'!$D:$D&amp;'3) Release_Label'!$E:$E,'3) Release_Label'!$H:$H},2,0),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E84" s="128" t="str">
        <f t="shared" si="3"/>
        <v/>
      </c>
      <c r="G84" s="93"/>
      <c r="H84" s="133"/>
      <c r="J84" s="20"/>
      <c r="K84" s="94"/>
      <c r="L84" s="20"/>
      <c r="N84" s="20"/>
      <c r="O84" s="20"/>
      <c r="P84" s="20"/>
    </row>
    <row r="85">
      <c r="A85" s="28"/>
      <c r="B85" s="93"/>
      <c r="C85" s="114" t="str">
        <f t="array" ref="C85">ifs(and(isblank($A85),isblank($B85)),"", not(iserror(vlookup($A85&amp;$B85,'3) Release_Label'!$D:$D&amp;'3) Release_Label'!$E:$E,1,0))),vlookup($A85&amp;$B85,{'3) Release_Label'!$D:$D&amp;'3) Release_Label'!$E:$E,'3) Release_Label'!$F:$F},2,0),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D85" s="114" t="str">
        <f t="array" ref="D85">ifs(and(isblank($A85),isblank($B85)),"", not(iserror(vlookup($A85&amp;$B85,'3) Release_Label'!$D:$D&amp;'3) Release_Label'!$E:$E,1,0))),vlookup($A85&amp;$B85,{'3) Release_Label'!$D:$D&amp;'3) Release_Label'!$E:$E,'3) Release_Label'!$H:$H},2,0),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E85" s="128" t="str">
        <f t="shared" si="3"/>
        <v/>
      </c>
      <c r="G85" s="93"/>
      <c r="H85" s="133"/>
      <c r="J85" s="20"/>
      <c r="K85" s="94"/>
      <c r="L85" s="20"/>
      <c r="N85" s="20"/>
      <c r="O85" s="20"/>
      <c r="P85" s="20"/>
    </row>
    <row r="86">
      <c r="A86" s="28"/>
      <c r="B86" s="93"/>
      <c r="C86" s="114" t="str">
        <f t="array" ref="C86">ifs(and(isblank($A86),isblank($B86)),"", not(iserror(vlookup($A86&amp;$B86,'3) Release_Label'!$D:$D&amp;'3) Release_Label'!$E:$E,1,0))),vlookup($A86&amp;$B86,{'3) Release_Label'!$D:$D&amp;'3) Release_Label'!$E:$E,'3) Release_Label'!$F:$F},2,0),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D86" s="114" t="str">
        <f t="array" ref="D86">ifs(and(isblank($A86),isblank($B86)),"", not(iserror(vlookup($A86&amp;$B86,'3) Release_Label'!$D:$D&amp;'3) Release_Label'!$E:$E,1,0))),vlookup($A86&amp;$B86,{'3) Release_Label'!$D:$D&amp;'3) Release_Label'!$E:$E,'3) Release_Label'!$H:$H},2,0),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E86" s="128" t="str">
        <f t="shared" si="3"/>
        <v/>
      </c>
      <c r="G86" s="93"/>
      <c r="H86" s="133"/>
      <c r="J86" s="20"/>
      <c r="K86" s="94"/>
      <c r="L86" s="20"/>
      <c r="N86" s="20"/>
      <c r="O86" s="20"/>
      <c r="P86" s="20"/>
    </row>
    <row r="87">
      <c r="A87" s="28"/>
      <c r="B87" s="93"/>
      <c r="C87" s="114" t="str">
        <f t="array" ref="C87">ifs(and(isblank($A87),isblank($B87)),"", not(iserror(vlookup($A87&amp;$B87,'3) Release_Label'!$D:$D&amp;'3) Release_Label'!$E:$E,1,0))),vlookup($A87&amp;$B87,{'3) Release_Label'!$D:$D&amp;'3) Release_Label'!$E:$E,'3) Release_Label'!$F:$F},2,0),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D87" s="114" t="str">
        <f t="array" ref="D87">ifs(and(isblank($A87),isblank($B87)),"", not(iserror(vlookup($A87&amp;$B87,'3) Release_Label'!$D:$D&amp;'3) Release_Label'!$E:$E,1,0))),vlookup($A87&amp;$B87,{'3) Release_Label'!$D:$D&amp;'3) Release_Label'!$E:$E,'3) Release_Label'!$H:$H},2,0),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E87" s="128" t="str">
        <f t="shared" si="3"/>
        <v/>
      </c>
      <c r="G87" s="93"/>
      <c r="H87" s="133"/>
      <c r="J87" s="20"/>
      <c r="K87" s="94"/>
      <c r="L87" s="20"/>
      <c r="N87" s="20"/>
      <c r="O87" s="20"/>
      <c r="P87" s="20"/>
    </row>
    <row r="88">
      <c r="A88" s="28"/>
      <c r="B88" s="93"/>
      <c r="C88" s="114" t="str">
        <f t="array" ref="C88">ifs(and(isblank($A88),isblank($B88)),"", not(iserror(vlookup($A88&amp;$B88,'3) Release_Label'!$D:$D&amp;'3) Release_Label'!$E:$E,1,0))),vlookup($A88&amp;$B88,{'3) Release_Label'!$D:$D&amp;'3) Release_Label'!$E:$E,'3) Release_Label'!$F:$F},2,0),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D88" s="114" t="str">
        <f t="array" ref="D88">ifs(and(isblank($A88),isblank($B88)),"", not(iserror(vlookup($A88&amp;$B88,'3) Release_Label'!$D:$D&amp;'3) Release_Label'!$E:$E,1,0))),vlookup($A88&amp;$B88,{'3) Release_Label'!$D:$D&amp;'3) Release_Label'!$E:$E,'3) Release_Label'!$H:$H},2,0),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E88" s="128" t="str">
        <f t="shared" si="3"/>
        <v/>
      </c>
      <c r="G88" s="93"/>
      <c r="H88" s="133"/>
      <c r="J88" s="20"/>
      <c r="K88" s="94"/>
      <c r="L88" s="20"/>
      <c r="N88" s="20"/>
      <c r="O88" s="20"/>
      <c r="P88" s="20"/>
    </row>
    <row r="89">
      <c r="A89" s="28"/>
      <c r="B89" s="93"/>
      <c r="C89" s="114" t="str">
        <f t="array" ref="C89">ifs(and(isblank($A89),isblank($B89)),"", not(iserror(vlookup($A89&amp;$B89,'3) Release_Label'!$D:$D&amp;'3) Release_Label'!$E:$E,1,0))),vlookup($A89&amp;$B89,{'3) Release_Label'!$D:$D&amp;'3) Release_Label'!$E:$E,'3) Release_Label'!$F:$F},2,0),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D89" s="114" t="str">
        <f t="array" ref="D89">ifs(and(isblank($A89),isblank($B89)),"", not(iserror(vlookup($A89&amp;$B89,'3) Release_Label'!$D:$D&amp;'3) Release_Label'!$E:$E,1,0))),vlookup($A89&amp;$B89,{'3) Release_Label'!$D:$D&amp;'3) Release_Label'!$E:$E,'3) Release_Label'!$H:$H},2,0),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E89" s="128" t="str">
        <f t="shared" si="3"/>
        <v/>
      </c>
      <c r="G89" s="93"/>
      <c r="H89" s="133"/>
      <c r="J89" s="20"/>
      <c r="K89" s="94"/>
      <c r="L89" s="20"/>
      <c r="N89" s="20"/>
      <c r="O89" s="20"/>
      <c r="P89" s="20"/>
    </row>
    <row r="90">
      <c r="A90" s="28"/>
      <c r="B90" s="93"/>
      <c r="C90" s="114" t="str">
        <f t="array" ref="C90">ifs(and(isblank($A90),isblank($B90)),"", not(iserror(vlookup($A90&amp;$B90,'3) Release_Label'!$D:$D&amp;'3) Release_Label'!$E:$E,1,0))),vlookup($A90&amp;$B90,{'3) Release_Label'!$D:$D&amp;'3) Release_Label'!$E:$E,'3) Release_Label'!$F:$F},2,0),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D90" s="114" t="str">
        <f t="array" ref="D90">ifs(and(isblank($A90),isblank($B90)),"", not(iserror(vlookup($A90&amp;$B90,'3) Release_Label'!$D:$D&amp;'3) Release_Label'!$E:$E,1,0))),vlookup($A90&amp;$B90,{'3) Release_Label'!$D:$D&amp;'3) Release_Label'!$E:$E,'3) Release_Label'!$H:$H},2,0),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E90" s="128" t="str">
        <f t="shared" si="3"/>
        <v/>
      </c>
      <c r="G90" s="93"/>
      <c r="H90" s="133"/>
      <c r="J90" s="20"/>
      <c r="K90" s="94"/>
      <c r="L90" s="20"/>
      <c r="N90" s="20"/>
      <c r="O90" s="20"/>
      <c r="P90" s="20"/>
    </row>
    <row r="91">
      <c r="A91" s="28"/>
      <c r="B91" s="93"/>
      <c r="C91" s="114" t="str">
        <f t="array" ref="C91">ifs(and(isblank($A91),isblank($B91)),"", not(iserror(vlookup($A91&amp;$B91,'3) Release_Label'!$D:$D&amp;'3) Release_Label'!$E:$E,1,0))),vlookup($A91&amp;$B91,{'3) Release_Label'!$D:$D&amp;'3) Release_Label'!$E:$E,'3) Release_Label'!$F:$F},2,0),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D91" s="114" t="str">
        <f t="array" ref="D91">ifs(and(isblank($A91),isblank($B91)),"", not(iserror(vlookup($A91&amp;$B91,'3) Release_Label'!$D:$D&amp;'3) Release_Label'!$E:$E,1,0))),vlookup($A91&amp;$B91,{'3) Release_Label'!$D:$D&amp;'3) Release_Label'!$E:$E,'3) Release_Label'!$H:$H},2,0),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E91" s="128" t="str">
        <f t="shared" si="3"/>
        <v/>
      </c>
      <c r="G91" s="93"/>
      <c r="H91" s="133"/>
      <c r="J91" s="20"/>
      <c r="K91" s="94"/>
      <c r="L91" s="20"/>
      <c r="N91" s="20"/>
      <c r="O91" s="20"/>
      <c r="P91" s="20"/>
    </row>
    <row r="92">
      <c r="A92" s="28"/>
      <c r="B92" s="93"/>
      <c r="C92" s="114" t="str">
        <f t="array" ref="C92">ifs(and(isblank($A92),isblank($B92)),"", not(iserror(vlookup($A92&amp;$B92,'3) Release_Label'!$D:$D&amp;'3) Release_Label'!$E:$E,1,0))),vlookup($A92&amp;$B92,{'3) Release_Label'!$D:$D&amp;'3) Release_Label'!$E:$E,'3) Release_Label'!$F:$F},2,0),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D92" s="114" t="str">
        <f t="array" ref="D92">ifs(and(isblank($A92),isblank($B92)),"", not(iserror(vlookup($A92&amp;$B92,'3) Release_Label'!$D:$D&amp;'3) Release_Label'!$E:$E,1,0))),vlookup($A92&amp;$B92,{'3) Release_Label'!$D:$D&amp;'3) Release_Label'!$E:$E,'3) Release_Label'!$H:$H},2,0),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E92" s="128" t="str">
        <f t="shared" si="3"/>
        <v/>
      </c>
      <c r="G92" s="93"/>
      <c r="H92" s="133"/>
      <c r="J92" s="20"/>
      <c r="K92" s="94"/>
      <c r="L92" s="20"/>
      <c r="N92" s="20"/>
      <c r="O92" s="20"/>
      <c r="P92" s="20"/>
    </row>
    <row r="93">
      <c r="A93" s="28"/>
      <c r="B93" s="93"/>
      <c r="C93" s="114" t="str">
        <f t="array" ref="C93">ifs(and(isblank($A93),isblank($B93)),"", not(iserror(vlookup($A93&amp;$B93,'3) Release_Label'!$D:$D&amp;'3) Release_Label'!$E:$E,1,0))),vlookup($A93&amp;$B93,{'3) Release_Label'!$D:$D&amp;'3) Release_Label'!$E:$E,'3) Release_Label'!$F:$F},2,0),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D93" s="114" t="str">
        <f t="array" ref="D93">ifs(and(isblank($A93),isblank($B93)),"", not(iserror(vlookup($A93&amp;$B93,'3) Release_Label'!$D:$D&amp;'3) Release_Label'!$E:$E,1,0))),vlookup($A93&amp;$B93,{'3) Release_Label'!$D:$D&amp;'3) Release_Label'!$E:$E,'3) Release_Label'!$H:$H},2,0),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E93" s="128" t="str">
        <f t="shared" si="3"/>
        <v/>
      </c>
      <c r="G93" s="93"/>
      <c r="H93" s="133"/>
      <c r="J93" s="20"/>
      <c r="K93" s="94"/>
      <c r="L93" s="20"/>
      <c r="N93" s="20"/>
      <c r="O93" s="20"/>
      <c r="P93" s="20"/>
    </row>
    <row r="94">
      <c r="A94" s="28"/>
      <c r="B94" s="93"/>
      <c r="C94" s="114" t="str">
        <f t="array" ref="C94">ifs(and(isblank($A94),isblank($B94)),"", not(iserror(vlookup($A94&amp;$B94,'3) Release_Label'!$D:$D&amp;'3) Release_Label'!$E:$E,1,0))),vlookup($A94&amp;$B94,{'3) Release_Label'!$D:$D&amp;'3) Release_Label'!$E:$E,'3) Release_Label'!$F:$F},2,0),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D94" s="114" t="str">
        <f t="array" ref="D94">ifs(and(isblank($A94),isblank($B94)),"", not(iserror(vlookup($A94&amp;$B94,'3) Release_Label'!$D:$D&amp;'3) Release_Label'!$E:$E,1,0))),vlookup($A94&amp;$B94,{'3) Release_Label'!$D:$D&amp;'3) Release_Label'!$E:$E,'3) Release_Label'!$H:$H},2,0),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E94" s="128" t="str">
        <f t="shared" si="3"/>
        <v/>
      </c>
      <c r="G94" s="93"/>
      <c r="H94" s="133"/>
      <c r="J94" s="20"/>
      <c r="K94" s="94"/>
      <c r="L94" s="20"/>
      <c r="N94" s="20"/>
      <c r="O94" s="20"/>
      <c r="P94" s="20"/>
    </row>
    <row r="95">
      <c r="A95" s="28"/>
      <c r="B95" s="93"/>
      <c r="C95" s="114" t="str">
        <f t="array" ref="C95">ifs(and(isblank($A95),isblank($B95)),"", not(iserror(vlookup($A95&amp;$B95,'3) Release_Label'!$D:$D&amp;'3) Release_Label'!$E:$E,1,0))),vlookup($A95&amp;$B95,{'3) Release_Label'!$D:$D&amp;'3) Release_Label'!$E:$E,'3) Release_Label'!$F:$F},2,0),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D95" s="114" t="str">
        <f t="array" ref="D95">ifs(and(isblank($A95),isblank($B95)),"", not(iserror(vlookup($A95&amp;$B95,'3) Release_Label'!$D:$D&amp;'3) Release_Label'!$E:$E,1,0))),vlookup($A95&amp;$B95,{'3) Release_Label'!$D:$D&amp;'3) Release_Label'!$E:$E,'3) Release_Label'!$H:$H},2,0),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E95" s="128" t="str">
        <f t="shared" si="3"/>
        <v/>
      </c>
      <c r="G95" s="93"/>
      <c r="H95" s="133"/>
      <c r="J95" s="20"/>
      <c r="K95" s="94"/>
      <c r="L95" s="20"/>
      <c r="N95" s="20"/>
      <c r="O95" s="20"/>
      <c r="P95" s="20"/>
    </row>
    <row r="96">
      <c r="A96" s="28"/>
      <c r="B96" s="93"/>
      <c r="C96" s="114" t="str">
        <f t="array" ref="C96">ifs(and(isblank($A96),isblank($B96)),"", not(iserror(vlookup($A96&amp;$B96,'3) Release_Label'!$D:$D&amp;'3) Release_Label'!$E:$E,1,0))),vlookup($A96&amp;$B96,{'3) Release_Label'!$D:$D&amp;'3) Release_Label'!$E:$E,'3) Release_Label'!$F:$F},2,0),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D96" s="114" t="str">
        <f t="array" ref="D96">ifs(and(isblank($A96),isblank($B96)),"", not(iserror(vlookup($A96&amp;$B96,'3) Release_Label'!$D:$D&amp;'3) Release_Label'!$E:$E,1,0))),vlookup($A96&amp;$B96,{'3) Release_Label'!$D:$D&amp;'3) Release_Label'!$E:$E,'3) Release_Label'!$H:$H},2,0),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E96" s="128" t="str">
        <f t="shared" si="3"/>
        <v/>
      </c>
      <c r="G96" s="93"/>
      <c r="H96" s="133"/>
      <c r="J96" s="20"/>
      <c r="K96" s="94"/>
      <c r="L96" s="20"/>
      <c r="N96" s="20"/>
      <c r="O96" s="20"/>
      <c r="P96" s="20"/>
    </row>
    <row r="97">
      <c r="A97" s="28"/>
      <c r="B97" s="93"/>
      <c r="C97" s="114" t="str">
        <f t="array" ref="C97">ifs(and(isblank($A97),isblank($B97)),"", not(iserror(vlookup($A97&amp;$B97,'3) Release_Label'!$D:$D&amp;'3) Release_Label'!$E:$E,1,0))),vlookup($A97&amp;$B97,{'3) Release_Label'!$D:$D&amp;'3) Release_Label'!$E:$E,'3) Release_Label'!$F:$F},2,0),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D97" s="114" t="str">
        <f t="array" ref="D97">ifs(and(isblank($A97),isblank($B97)),"", not(iserror(vlookup($A97&amp;$B97,'3) Release_Label'!$D:$D&amp;'3) Release_Label'!$E:$E,1,0))),vlookup($A97&amp;$B97,{'3) Release_Label'!$D:$D&amp;'3) Release_Label'!$E:$E,'3) Release_Label'!$H:$H},2,0),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E97" s="128" t="str">
        <f t="shared" si="3"/>
        <v/>
      </c>
      <c r="G97" s="93"/>
      <c r="H97" s="133"/>
      <c r="J97" s="20"/>
      <c r="K97" s="94"/>
      <c r="L97" s="20"/>
      <c r="N97" s="20"/>
      <c r="O97" s="20"/>
      <c r="P97" s="20"/>
    </row>
    <row r="98">
      <c r="A98" s="28"/>
      <c r="B98" s="93"/>
      <c r="C98" s="114" t="str">
        <f t="array" ref="C98">ifs(and(isblank($A98),isblank($B98)),"", not(iserror(vlookup($A98&amp;$B98,'3) Release_Label'!$D:$D&amp;'3) Release_Label'!$E:$E,1,0))),vlookup($A98&amp;$B98,{'3) Release_Label'!$D:$D&amp;'3) Release_Label'!$E:$E,'3) Release_Label'!$F:$F},2,0),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D98" s="114" t="str">
        <f t="array" ref="D98">ifs(and(isblank($A98),isblank($B98)),"", not(iserror(vlookup($A98&amp;$B98,'3) Release_Label'!$D:$D&amp;'3) Release_Label'!$E:$E,1,0))),vlookup($A98&amp;$B98,{'3) Release_Label'!$D:$D&amp;'3) Release_Label'!$E:$E,'3) Release_Label'!$H:$H},2,0),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E98" s="128" t="str">
        <f t="shared" si="3"/>
        <v/>
      </c>
      <c r="G98" s="93"/>
      <c r="H98" s="133"/>
      <c r="J98" s="20"/>
      <c r="K98" s="94"/>
      <c r="L98" s="20"/>
      <c r="N98" s="20"/>
      <c r="O98" s="20"/>
      <c r="P98" s="20"/>
    </row>
    <row r="99">
      <c r="A99" s="28"/>
      <c r="B99" s="93"/>
      <c r="C99" s="114" t="str">
        <f t="array" ref="C99">ifs(and(isblank($A99),isblank($B99)),"", not(iserror(vlookup($A99&amp;$B99,'3) Release_Label'!$D:$D&amp;'3) Release_Label'!$E:$E,1,0))),vlookup($A99&amp;$B99,{'3) Release_Label'!$D:$D&amp;'3) Release_Label'!$E:$E,'3) Release_Label'!$F:$F},2,0),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D99" s="114" t="str">
        <f t="array" ref="D99">ifs(and(isblank($A99),isblank($B99)),"", not(iserror(vlookup($A99&amp;$B99,'3) Release_Label'!$D:$D&amp;'3) Release_Label'!$E:$E,1,0))),vlookup($A99&amp;$B99,{'3) Release_Label'!$D:$D&amp;'3) Release_Label'!$E:$E,'3) Release_Label'!$H:$H},2,0),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E99" s="128" t="str">
        <f t="shared" si="3"/>
        <v/>
      </c>
      <c r="G99" s="93"/>
      <c r="H99" s="133"/>
      <c r="J99" s="20"/>
      <c r="K99" s="94"/>
      <c r="L99" s="20"/>
      <c r="N99" s="20"/>
      <c r="O99" s="20"/>
      <c r="P99" s="20"/>
    </row>
    <row r="100">
      <c r="A100" s="28"/>
      <c r="B100" s="93"/>
      <c r="C100" s="114" t="str">
        <f t="array" ref="C100">ifs(and(isblank($A100),isblank($B100)),"", not(iserror(vlookup($A100&amp;$B100,'3) Release_Label'!$D:$D&amp;'3) Release_Label'!$E:$E,1,0))),vlookup($A100&amp;$B100,{'3) Release_Label'!$D:$D&amp;'3) Release_Label'!$E:$E,'3) Release_Label'!$F:$F},2,0),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D100" s="114" t="str">
        <f t="array" ref="D100">ifs(and(isblank($A100),isblank($B100)),"", not(iserror(vlookup($A100&amp;$B100,'3) Release_Label'!$D:$D&amp;'3) Release_Label'!$E:$E,1,0))),vlookup($A100&amp;$B100,{'3) Release_Label'!$D:$D&amp;'3) Release_Label'!$E:$E,'3) Release_Label'!$H:$H},2,0),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E100" s="128" t="str">
        <f t="shared" si="3"/>
        <v/>
      </c>
      <c r="G100" s="93"/>
      <c r="H100" s="133"/>
      <c r="J100" s="20"/>
      <c r="K100" s="94"/>
      <c r="L100" s="20"/>
      <c r="N100" s="20"/>
      <c r="O100" s="20"/>
      <c r="P100" s="20"/>
    </row>
    <row r="101">
      <c r="A101" s="28"/>
      <c r="B101" s="93"/>
      <c r="C101" s="114" t="str">
        <f t="array" ref="C101">ifs(and(isblank($A101),isblank($B101)),"", not(iserror(vlookup($A101&amp;$B101,'3) Release_Label'!$D:$D&amp;'3) Release_Label'!$E:$E,1,0))),vlookup($A101&amp;$B101,{'3) Release_Label'!$D:$D&amp;'3) Release_Label'!$E:$E,'3) Release_Label'!$F:$F},2,0),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D101" s="114" t="str">
        <f t="array" ref="D101">ifs(and(isblank($A101),isblank($B101)),"", not(iserror(vlookup($A101&amp;$B101,'3) Release_Label'!$D:$D&amp;'3) Release_Label'!$E:$E,1,0))),vlookup($A101&amp;$B101,{'3) Release_Label'!$D:$D&amp;'3) Release_Label'!$E:$E,'3) Release_Label'!$H:$H},2,0),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E101" s="128" t="str">
        <f t="shared" si="3"/>
        <v/>
      </c>
      <c r="G101" s="93"/>
      <c r="H101" s="133"/>
      <c r="J101" s="20"/>
      <c r="K101" s="94"/>
      <c r="L101" s="20"/>
      <c r="N101" s="20"/>
      <c r="O101" s="20"/>
      <c r="P101" s="20"/>
    </row>
    <row r="102">
      <c r="A102" s="28"/>
      <c r="B102" s="93"/>
      <c r="C102" s="114" t="str">
        <f t="array" ref="C102">ifs(and(isblank($A102),isblank($B102)),"", not(iserror(vlookup($A102&amp;$B102,'3) Release_Label'!$D:$D&amp;'3) Release_Label'!$E:$E,1,0))),vlookup($A102&amp;$B102,{'3) Release_Label'!$D:$D&amp;'3) Release_Label'!$E:$E,'3) Release_Label'!$F:$F},2,0),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D102" s="114" t="str">
        <f t="array" ref="D102">ifs(and(isblank($A102),isblank($B102)),"", not(iserror(vlookup($A102&amp;$B102,'3) Release_Label'!$D:$D&amp;'3) Release_Label'!$E:$E,1,0))),vlookup($A102&amp;$B102,{'3) Release_Label'!$D:$D&amp;'3) Release_Label'!$E:$E,'3) Release_Label'!$H:$H},2,0),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E102" s="128" t="str">
        <f t="shared" si="3"/>
        <v/>
      </c>
      <c r="G102" s="93"/>
      <c r="H102" s="133"/>
      <c r="J102" s="20"/>
      <c r="K102" s="94"/>
      <c r="L102" s="20"/>
      <c r="N102" s="20"/>
      <c r="O102" s="20"/>
      <c r="P102" s="20"/>
    </row>
    <row r="103">
      <c r="A103" s="28"/>
      <c r="B103" s="93"/>
      <c r="C103" s="114" t="str">
        <f t="array" ref="C103">ifs(and(isblank($A103),isblank($B103)),"", not(iserror(vlookup($A103&amp;$B103,'3) Release_Label'!$D:$D&amp;'3) Release_Label'!$E:$E,1,0))),vlookup($A103&amp;$B103,{'3) Release_Label'!$D:$D&amp;'3) Release_Label'!$E:$E,'3) Release_Label'!$F:$F},2,0),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D103" s="114" t="str">
        <f t="array" ref="D103">ifs(and(isblank($A103),isblank($B103)),"", not(iserror(vlookup($A103&amp;$B103,'3) Release_Label'!$D:$D&amp;'3) Release_Label'!$E:$E,1,0))),vlookup($A103&amp;$B103,{'3) Release_Label'!$D:$D&amp;'3) Release_Label'!$E:$E,'3) Release_Label'!$H:$H},2,0),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E103" s="128" t="str">
        <f t="shared" si="3"/>
        <v/>
      </c>
      <c r="G103" s="93"/>
      <c r="H103" s="133"/>
      <c r="J103" s="20"/>
      <c r="K103" s="94"/>
      <c r="L103" s="20"/>
      <c r="N103" s="20"/>
      <c r="O103" s="20"/>
      <c r="P103" s="20"/>
    </row>
    <row r="104">
      <c r="A104" s="28"/>
      <c r="B104" s="93"/>
      <c r="C104" s="114" t="str">
        <f t="array" ref="C104">ifs(and(isblank($A104),isblank($B104)),"", not(iserror(vlookup($A104&amp;$B104,'3) Release_Label'!$D:$D&amp;'3) Release_Label'!$E:$E,1,0))),vlookup($A104&amp;$B104,{'3) Release_Label'!$D:$D&amp;'3) Release_Label'!$E:$E,'3) Release_Label'!$F:$F},2,0),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D104" s="114" t="str">
        <f t="array" ref="D104">ifs(and(isblank($A104),isblank($B104)),"", not(iserror(vlookup($A104&amp;$B104,'3) Release_Label'!$D:$D&amp;'3) Release_Label'!$E:$E,1,0))),vlookup($A104&amp;$B104,{'3) Release_Label'!$D:$D&amp;'3) Release_Label'!$E:$E,'3) Release_Label'!$H:$H},2,0),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E104" s="128" t="str">
        <f t="shared" si="3"/>
        <v/>
      </c>
      <c r="G104" s="93"/>
      <c r="H104" s="133"/>
      <c r="J104" s="20"/>
      <c r="K104" s="94"/>
      <c r="L104" s="20"/>
      <c r="N104" s="20"/>
      <c r="O104" s="20"/>
      <c r="P104" s="20"/>
    </row>
    <row r="105">
      <c r="A105" s="28"/>
      <c r="B105" s="93"/>
      <c r="C105" s="114" t="str">
        <f t="array" ref="C105">ifs(and(isblank($A105),isblank($B105)),"", not(iserror(vlookup($A105&amp;$B105,'3) Release_Label'!$D:$D&amp;'3) Release_Label'!$E:$E,1,0))),vlookup($A105&amp;$B105,{'3) Release_Label'!$D:$D&amp;'3) Release_Label'!$E:$E,'3) Release_Label'!$F:$F},2,0),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D105" s="114" t="str">
        <f t="array" ref="D105">ifs(and(isblank($A105),isblank($B105)),"", not(iserror(vlookup($A105&amp;$B105,'3) Release_Label'!$D:$D&amp;'3) Release_Label'!$E:$E,1,0))),vlookup($A105&amp;$B105,{'3) Release_Label'!$D:$D&amp;'3) Release_Label'!$E:$E,'3) Release_Label'!$H:$H},2,0),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E105" s="128" t="str">
        <f t="shared" si="3"/>
        <v/>
      </c>
      <c r="G105" s="93"/>
      <c r="H105" s="133"/>
      <c r="J105" s="20"/>
      <c r="K105" s="94"/>
      <c r="L105" s="20"/>
      <c r="N105" s="20"/>
      <c r="O105" s="20"/>
      <c r="P105" s="20"/>
    </row>
    <row r="106">
      <c r="A106" s="28"/>
      <c r="B106" s="93"/>
      <c r="C106" s="114" t="str">
        <f t="array" ref="C106">ifs(and(isblank($A106),isblank($B106)),"", not(iserror(vlookup($A106&amp;$B106,'3) Release_Label'!$D:$D&amp;'3) Release_Label'!$E:$E,1,0))),vlookup($A106&amp;$B106,{'3) Release_Label'!$D:$D&amp;'3) Release_Label'!$E:$E,'3) Release_Label'!$F:$F},2,0),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D106" s="114" t="str">
        <f t="array" ref="D106">ifs(and(isblank($A106),isblank($B106)),"", not(iserror(vlookup($A106&amp;$B106,'3) Release_Label'!$D:$D&amp;'3) Release_Label'!$E:$E,1,0))),vlookup($A106&amp;$B106,{'3) Release_Label'!$D:$D&amp;'3) Release_Label'!$E:$E,'3) Release_Label'!$H:$H},2,0),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E106" s="128" t="str">
        <f t="shared" si="3"/>
        <v/>
      </c>
      <c r="G106" s="93"/>
      <c r="H106" s="133"/>
      <c r="J106" s="20"/>
      <c r="K106" s="94"/>
      <c r="L106" s="20"/>
      <c r="N106" s="20"/>
      <c r="O106" s="20"/>
      <c r="P106" s="20"/>
    </row>
    <row r="107">
      <c r="A107" s="28"/>
      <c r="B107" s="93"/>
      <c r="C107" s="114" t="str">
        <f t="array" ref="C107">ifs(and(isblank($A107),isblank($B107)),"", not(iserror(vlookup($A107&amp;$B107,'3) Release_Label'!$D:$D&amp;'3) Release_Label'!$E:$E,1,0))),vlookup($A107&amp;$B107,{'3) Release_Label'!$D:$D&amp;'3) Release_Label'!$E:$E,'3) Release_Label'!$F:$F},2,0),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D107" s="114" t="str">
        <f t="array" ref="D107">ifs(and(isblank($A107),isblank($B107)),"", not(iserror(vlookup($A107&amp;$B107,'3) Release_Label'!$D:$D&amp;'3) Release_Label'!$E:$E,1,0))),vlookup($A107&amp;$B107,{'3) Release_Label'!$D:$D&amp;'3) Release_Label'!$E:$E,'3) Release_Label'!$H:$H},2,0),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E107" s="128" t="str">
        <f t="shared" si="3"/>
        <v/>
      </c>
      <c r="G107" s="93"/>
      <c r="H107" s="133"/>
      <c r="J107" s="20"/>
      <c r="K107" s="94"/>
      <c r="L107" s="20"/>
      <c r="N107" s="20"/>
      <c r="O107" s="20"/>
      <c r="P107" s="20"/>
    </row>
    <row r="108">
      <c r="A108" s="28"/>
      <c r="B108" s="93"/>
      <c r="C108" s="114" t="str">
        <f t="array" ref="C108">ifs(and(isblank($A108),isblank($B108)),"", not(iserror(vlookup($A108&amp;$B108,'3) Release_Label'!$D:$D&amp;'3) Release_Label'!$E:$E,1,0))),vlookup($A108&amp;$B108,{'3) Release_Label'!$D:$D&amp;'3) Release_Label'!$E:$E,'3) Release_Label'!$F:$F},2,0),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D108" s="114" t="str">
        <f t="array" ref="D108">ifs(and(isblank($A108),isblank($B108)),"", not(iserror(vlookup($A108&amp;$B108,'3) Release_Label'!$D:$D&amp;'3) Release_Label'!$E:$E,1,0))),vlookup($A108&amp;$B108,{'3) Release_Label'!$D:$D&amp;'3) Release_Label'!$E:$E,'3) Release_Label'!$H:$H},2,0),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E108" s="128" t="str">
        <f t="shared" si="3"/>
        <v/>
      </c>
      <c r="G108" s="93"/>
      <c r="H108" s="133"/>
      <c r="J108" s="20"/>
      <c r="K108" s="94"/>
      <c r="L108" s="20"/>
      <c r="N108" s="20"/>
      <c r="O108" s="20"/>
      <c r="P108" s="20"/>
    </row>
    <row r="109">
      <c r="A109" s="28"/>
      <c r="B109" s="93"/>
      <c r="C109" s="114" t="str">
        <f t="array" ref="C109">ifs(and(isblank($A109),isblank($B109)),"", not(iserror(vlookup($A109&amp;$B109,'3) Release_Label'!$D:$D&amp;'3) Release_Label'!$E:$E,1,0))),vlookup($A109&amp;$B109,{'3) Release_Label'!$D:$D&amp;'3) Release_Label'!$E:$E,'3) Release_Label'!$F:$F},2,0),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D109" s="114" t="str">
        <f t="array" ref="D109">ifs(and(isblank($A109),isblank($B109)),"", not(iserror(vlookup($A109&amp;$B109,'3) Release_Label'!$D:$D&amp;'3) Release_Label'!$E:$E,1,0))),vlookup($A109&amp;$B109,{'3) Release_Label'!$D:$D&amp;'3) Release_Label'!$E:$E,'3) Release_Label'!$H:$H},2,0),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E109" s="128" t="str">
        <f t="shared" si="3"/>
        <v/>
      </c>
      <c r="G109" s="93"/>
      <c r="H109" s="133"/>
      <c r="J109" s="20"/>
      <c r="K109" s="94"/>
      <c r="L109" s="20"/>
      <c r="N109" s="20"/>
      <c r="O109" s="20"/>
      <c r="P109" s="20"/>
    </row>
    <row r="110">
      <c r="A110" s="28"/>
      <c r="B110" s="93"/>
      <c r="C110" s="114" t="str">
        <f t="array" ref="C110">ifs(and(isblank($A110),isblank($B110)),"", not(iserror(vlookup($A110&amp;$B110,'3) Release_Label'!$D:$D&amp;'3) Release_Label'!$E:$E,1,0))),vlookup($A110&amp;$B110,{'3) Release_Label'!$D:$D&amp;'3) Release_Label'!$E:$E,'3) Release_Label'!$F:$F},2,0),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D110" s="114" t="str">
        <f t="array" ref="D110">ifs(and(isblank($A110),isblank($B110)),"", not(iserror(vlookup($A110&amp;$B110,'3) Release_Label'!$D:$D&amp;'3) Release_Label'!$E:$E,1,0))),vlookup($A110&amp;$B110,{'3) Release_Label'!$D:$D&amp;'3) Release_Label'!$E:$E,'3) Release_Label'!$H:$H},2,0),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E110" s="128" t="str">
        <f t="shared" si="3"/>
        <v/>
      </c>
      <c r="G110" s="93"/>
      <c r="H110" s="133"/>
      <c r="J110" s="20"/>
      <c r="K110" s="94"/>
      <c r="L110" s="20"/>
      <c r="N110" s="20"/>
      <c r="O110" s="20"/>
      <c r="P110" s="20"/>
    </row>
    <row r="111">
      <c r="A111" s="28"/>
      <c r="B111" s="93"/>
      <c r="C111" s="114" t="str">
        <f t="array" ref="C111">ifs(and(isblank($A111),isblank($B111)),"", not(iserror(vlookup($A111&amp;$B111,'3) Release_Label'!$D:$D&amp;'3) Release_Label'!$E:$E,1,0))),vlookup($A111&amp;$B111,{'3) Release_Label'!$D:$D&amp;'3) Release_Label'!$E:$E,'3) Release_Label'!$F:$F},2,0),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D111" s="114" t="str">
        <f t="array" ref="D111">ifs(and(isblank($A111),isblank($B111)),"", not(iserror(vlookup($A111&amp;$B111,'3) Release_Label'!$D:$D&amp;'3) Release_Label'!$E:$E,1,0))),vlookup($A111&amp;$B111,{'3) Release_Label'!$D:$D&amp;'3) Release_Label'!$E:$E,'3) Release_Label'!$H:$H},2,0),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E111" s="128" t="str">
        <f t="shared" si="3"/>
        <v/>
      </c>
      <c r="G111" s="93"/>
      <c r="H111" s="133"/>
      <c r="J111" s="20"/>
      <c r="K111" s="94"/>
      <c r="L111" s="20"/>
      <c r="N111" s="20"/>
      <c r="O111" s="20"/>
      <c r="P111" s="20"/>
    </row>
    <row r="112">
      <c r="A112" s="28"/>
      <c r="B112" s="93"/>
      <c r="C112" s="114" t="str">
        <f t="array" ref="C112">ifs(and(isblank($A112),isblank($B112)),"", not(iserror(vlookup($A112&amp;$B112,'3) Release_Label'!$D:$D&amp;'3) Release_Label'!$E:$E,1,0))),vlookup($A112&amp;$B112,{'3) Release_Label'!$D:$D&amp;'3) Release_Label'!$E:$E,'3) Release_Label'!$F:$F},2,0),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D112" s="114" t="str">
        <f t="array" ref="D112">ifs(and(isblank($A112),isblank($B112)),"", not(iserror(vlookup($A112&amp;$B112,'3) Release_Label'!$D:$D&amp;'3) Release_Label'!$E:$E,1,0))),vlookup($A112&amp;$B112,{'3) Release_Label'!$D:$D&amp;'3) Release_Label'!$E:$E,'3) Release_Label'!$H:$H},2,0),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E112" s="128" t="str">
        <f t="shared" si="3"/>
        <v/>
      </c>
      <c r="G112" s="93"/>
      <c r="H112" s="133"/>
      <c r="J112" s="20"/>
      <c r="K112" s="94"/>
      <c r="L112" s="20"/>
      <c r="N112" s="20"/>
      <c r="O112" s="20"/>
      <c r="P112" s="20"/>
    </row>
    <row r="113">
      <c r="A113" s="28"/>
      <c r="B113" s="93"/>
      <c r="C113" s="114" t="str">
        <f t="array" ref="C113">ifs(and(isblank($A113),isblank($B113)),"", not(iserror(vlookup($A113&amp;$B113,'3) Release_Label'!$D:$D&amp;'3) Release_Label'!$E:$E,1,0))),vlookup($A113&amp;$B113,{'3) Release_Label'!$D:$D&amp;'3) Release_Label'!$E:$E,'3) Release_Label'!$F:$F},2,0),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D113" s="114" t="str">
        <f t="array" ref="D113">ifs(and(isblank($A113),isblank($B113)),"", not(iserror(vlookup($A113&amp;$B113,'3) Release_Label'!$D:$D&amp;'3) Release_Label'!$E:$E,1,0))),vlookup($A113&amp;$B113,{'3) Release_Label'!$D:$D&amp;'3) Release_Label'!$E:$E,'3) Release_Label'!$H:$H},2,0),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E113" s="128" t="str">
        <f t="shared" si="3"/>
        <v/>
      </c>
      <c r="G113" s="93"/>
      <c r="H113" s="133"/>
      <c r="J113" s="20"/>
      <c r="K113" s="94"/>
      <c r="L113" s="20"/>
      <c r="N113" s="20"/>
      <c r="O113" s="20"/>
      <c r="P113" s="20"/>
    </row>
    <row r="114">
      <c r="A114" s="28"/>
      <c r="B114" s="93"/>
      <c r="C114" s="114" t="str">
        <f t="array" ref="C114">ifs(and(isblank($A114),isblank($B114)),"", not(iserror(vlookup($A114&amp;$B114,'3) Release_Label'!$D:$D&amp;'3) Release_Label'!$E:$E,1,0))),vlookup($A114&amp;$B114,{'3) Release_Label'!$D:$D&amp;'3) Release_Label'!$E:$E,'3) Release_Label'!$F:$F},2,0),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D114" s="114" t="str">
        <f t="array" ref="D114">ifs(and(isblank($A114),isblank($B114)),"", not(iserror(vlookup($A114&amp;$B114,'3) Release_Label'!$D:$D&amp;'3) Release_Label'!$E:$E,1,0))),vlookup($A114&amp;$B114,{'3) Release_Label'!$D:$D&amp;'3) Release_Label'!$E:$E,'3) Release_Label'!$H:$H},2,0),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E114" s="128" t="str">
        <f t="shared" si="3"/>
        <v/>
      </c>
      <c r="G114" s="93"/>
      <c r="H114" s="133"/>
      <c r="J114" s="20"/>
      <c r="K114" s="94"/>
      <c r="L114" s="20"/>
      <c r="N114" s="20"/>
      <c r="O114" s="20"/>
      <c r="P114" s="20"/>
    </row>
    <row r="115">
      <c r="A115" s="28"/>
      <c r="B115" s="93"/>
      <c r="C115" s="114" t="str">
        <f t="array" ref="C115">ifs(and(isblank($A115),isblank($B115)),"", not(iserror(vlookup($A115&amp;$B115,'3) Release_Label'!$D:$D&amp;'3) Release_Label'!$E:$E,1,0))),vlookup($A115&amp;$B115,{'3) Release_Label'!$D:$D&amp;'3) Release_Label'!$E:$E,'3) Release_Label'!$F:$F},2,0),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D115" s="114" t="str">
        <f t="array" ref="D115">ifs(and(isblank($A115),isblank($B115)),"", not(iserror(vlookup($A115&amp;$B115,'3) Release_Label'!$D:$D&amp;'3) Release_Label'!$E:$E,1,0))),vlookup($A115&amp;$B115,{'3) Release_Label'!$D:$D&amp;'3) Release_Label'!$E:$E,'3) Release_Label'!$H:$H},2,0),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E115" s="128" t="str">
        <f t="shared" si="3"/>
        <v/>
      </c>
      <c r="G115" s="93"/>
      <c r="H115" s="133"/>
      <c r="J115" s="20"/>
      <c r="K115" s="94"/>
      <c r="L115" s="20"/>
      <c r="N115" s="20"/>
      <c r="O115" s="20"/>
      <c r="P115" s="20"/>
    </row>
    <row r="116">
      <c r="A116" s="28"/>
      <c r="B116" s="93"/>
      <c r="C116" s="114" t="str">
        <f t="array" ref="C116">ifs(and(isblank($A116),isblank($B116)),"", not(iserror(vlookup($A116&amp;$B116,'3) Release_Label'!$D:$D&amp;'3) Release_Label'!$E:$E,1,0))),vlookup($A116&amp;$B116,{'3) Release_Label'!$D:$D&amp;'3) Release_Label'!$E:$E,'3) Release_Label'!$F:$F},2,0),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D116" s="114" t="str">
        <f t="array" ref="D116">ifs(and(isblank($A116),isblank($B116)),"", not(iserror(vlookup($A116&amp;$B116,'3) Release_Label'!$D:$D&amp;'3) Release_Label'!$E:$E,1,0))),vlookup($A116&amp;$B116,{'3) Release_Label'!$D:$D&amp;'3) Release_Label'!$E:$E,'3) Release_Label'!$H:$H},2,0),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E116" s="128" t="str">
        <f t="shared" si="3"/>
        <v/>
      </c>
      <c r="G116" s="93"/>
      <c r="H116" s="133"/>
      <c r="J116" s="20"/>
      <c r="K116" s="94"/>
      <c r="L116" s="20"/>
      <c r="N116" s="20"/>
      <c r="O116" s="20"/>
      <c r="P116" s="20"/>
    </row>
    <row r="117">
      <c r="A117" s="28"/>
      <c r="B117" s="93"/>
      <c r="C117" s="114" t="str">
        <f t="array" ref="C117">ifs(and(isblank($A117),isblank($B117)),"", not(iserror(vlookup($A117&amp;$B117,'3) Release_Label'!$D:$D&amp;'3) Release_Label'!$E:$E,1,0))),vlookup($A117&amp;$B117,{'3) Release_Label'!$D:$D&amp;'3) Release_Label'!$E:$E,'3) Release_Label'!$F:$F},2,0),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D117" s="114" t="str">
        <f t="array" ref="D117">ifs(and(isblank($A117),isblank($B117)),"", not(iserror(vlookup($A117&amp;$B117,'3) Release_Label'!$D:$D&amp;'3) Release_Label'!$E:$E,1,0))),vlookup($A117&amp;$B117,{'3) Release_Label'!$D:$D&amp;'3) Release_Label'!$E:$E,'3) Release_Label'!$H:$H},2,0),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E117" s="128" t="str">
        <f t="shared" si="3"/>
        <v/>
      </c>
      <c r="G117" s="93"/>
      <c r="H117" s="133"/>
      <c r="J117" s="20"/>
      <c r="K117" s="94"/>
      <c r="L117" s="20"/>
      <c r="N117" s="20"/>
      <c r="O117" s="20"/>
      <c r="P117" s="20"/>
    </row>
    <row r="118">
      <c r="A118" s="28"/>
      <c r="B118" s="93"/>
      <c r="C118" s="114" t="str">
        <f t="array" ref="C118">ifs(and(isblank($A118),isblank($B118)),"", not(iserror(vlookup($A118&amp;$B118,'3) Release_Label'!$D:$D&amp;'3) Release_Label'!$E:$E,1,0))),vlookup($A118&amp;$B118,{'3) Release_Label'!$D:$D&amp;'3) Release_Label'!$E:$E,'3) Release_Label'!$F:$F},2,0),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D118" s="114" t="str">
        <f t="array" ref="D118">ifs(and(isblank($A118),isblank($B118)),"", not(iserror(vlookup($A118&amp;$B118,'3) Release_Label'!$D:$D&amp;'3) Release_Label'!$E:$E,1,0))),vlookup($A118&amp;$B118,{'3) Release_Label'!$D:$D&amp;'3) Release_Label'!$E:$E,'3) Release_Label'!$H:$H},2,0),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E118" s="128" t="str">
        <f t="shared" si="3"/>
        <v/>
      </c>
      <c r="G118" s="93"/>
      <c r="H118" s="133"/>
      <c r="J118" s="20"/>
      <c r="K118" s="94"/>
      <c r="L118" s="20"/>
      <c r="N118" s="20"/>
      <c r="O118" s="20"/>
      <c r="P118" s="20"/>
    </row>
    <row r="119">
      <c r="A119" s="28"/>
      <c r="B119" s="93"/>
      <c r="C119" s="114" t="str">
        <f t="array" ref="C119">ifs(and(isblank($A119),isblank($B119)),"", not(iserror(vlookup($A119&amp;$B119,'3) Release_Label'!$D:$D&amp;'3) Release_Label'!$E:$E,1,0))),vlookup($A119&amp;$B119,{'3) Release_Label'!$D:$D&amp;'3) Release_Label'!$E:$E,'3) Release_Label'!$F:$F},2,0),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D119" s="114" t="str">
        <f t="array" ref="D119">ifs(and(isblank($A119),isblank($B119)),"", not(iserror(vlookup($A119&amp;$B119,'3) Release_Label'!$D:$D&amp;'3) Release_Label'!$E:$E,1,0))),vlookup($A119&amp;$B119,{'3) Release_Label'!$D:$D&amp;'3) Release_Label'!$E:$E,'3) Release_Label'!$H:$H},2,0),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E119" s="128" t="str">
        <f t="shared" si="3"/>
        <v/>
      </c>
      <c r="G119" s="93"/>
      <c r="H119" s="133"/>
      <c r="J119" s="20"/>
      <c r="K119" s="94"/>
      <c r="L119" s="20"/>
      <c r="N119" s="20"/>
      <c r="O119" s="20"/>
      <c r="P119" s="20"/>
    </row>
    <row r="120">
      <c r="A120" s="28"/>
      <c r="B120" s="93"/>
      <c r="C120" s="114" t="str">
        <f t="array" ref="C120">ifs(and(isblank($A120),isblank($B120)),"", not(iserror(vlookup($A120&amp;$B120,'3) Release_Label'!$D:$D&amp;'3) Release_Label'!$E:$E,1,0))),vlookup($A120&amp;$B120,{'3) Release_Label'!$D:$D&amp;'3) Release_Label'!$E:$E,'3) Release_Label'!$F:$F},2,0),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D120" s="114" t="str">
        <f t="array" ref="D120">ifs(and(isblank($A120),isblank($B120)),"", not(iserror(vlookup($A120&amp;$B120,'3) Release_Label'!$D:$D&amp;'3) Release_Label'!$E:$E,1,0))),vlookup($A120&amp;$B120,{'3) Release_Label'!$D:$D&amp;'3) Release_Label'!$E:$E,'3) Release_Label'!$H:$H},2,0),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E120" s="128" t="str">
        <f t="shared" si="3"/>
        <v/>
      </c>
      <c r="G120" s="93"/>
      <c r="H120" s="133"/>
      <c r="J120" s="20"/>
      <c r="K120" s="94"/>
      <c r="L120" s="20"/>
      <c r="N120" s="20"/>
      <c r="O120" s="20"/>
      <c r="P120" s="20"/>
    </row>
    <row r="121">
      <c r="A121" s="28"/>
      <c r="B121" s="93"/>
      <c r="C121" s="114" t="str">
        <f t="array" ref="C121">ifs(and(isblank($A121),isblank($B121)),"", not(iserror(vlookup($A121&amp;$B121,'3) Release_Label'!$D:$D&amp;'3) Release_Label'!$E:$E,1,0))),vlookup($A121&amp;$B121,{'3) Release_Label'!$D:$D&amp;'3) Release_Label'!$E:$E,'3) Release_Label'!$F:$F},2,0),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D121" s="114" t="str">
        <f t="array" ref="D121">ifs(and(isblank($A121),isblank($B121)),"", not(iserror(vlookup($A121&amp;$B121,'3) Release_Label'!$D:$D&amp;'3) Release_Label'!$E:$E,1,0))),vlookup($A121&amp;$B121,{'3) Release_Label'!$D:$D&amp;'3) Release_Label'!$E:$E,'3) Release_Label'!$H:$H},2,0),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E121" s="128" t="str">
        <f t="shared" si="3"/>
        <v/>
      </c>
      <c r="G121" s="93"/>
      <c r="H121" s="133"/>
      <c r="J121" s="20"/>
      <c r="K121" s="94"/>
      <c r="L121" s="20"/>
      <c r="N121" s="20"/>
      <c r="O121" s="20"/>
      <c r="P121" s="20"/>
    </row>
    <row r="122">
      <c r="A122" s="28"/>
      <c r="B122" s="93"/>
      <c r="C122" s="114" t="str">
        <f t="array" ref="C122">ifs(and(isblank($A122),isblank($B122)),"", not(iserror(vlookup($A122&amp;$B122,'3) Release_Label'!$D:$D&amp;'3) Release_Label'!$E:$E,1,0))),vlookup($A122&amp;$B122,{'3) Release_Label'!$D:$D&amp;'3) Release_Label'!$E:$E,'3) Release_Label'!$F:$F},2,0),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D122" s="114" t="str">
        <f t="array" ref="D122">ifs(and(isblank($A122),isblank($B122)),"", not(iserror(vlookup($A122&amp;$B122,'3) Release_Label'!$D:$D&amp;'3) Release_Label'!$E:$E,1,0))),vlookup($A122&amp;$B122,{'3) Release_Label'!$D:$D&amp;'3) Release_Label'!$E:$E,'3) Release_Label'!$H:$H},2,0),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E122" s="128" t="str">
        <f t="shared" si="3"/>
        <v/>
      </c>
      <c r="G122" s="93"/>
      <c r="H122" s="133"/>
      <c r="J122" s="20"/>
      <c r="K122" s="94"/>
      <c r="L122" s="20"/>
      <c r="N122" s="20"/>
      <c r="O122" s="20"/>
      <c r="P122" s="20"/>
    </row>
    <row r="123">
      <c r="A123" s="28"/>
      <c r="B123" s="93"/>
      <c r="C123" s="114" t="str">
        <f t="array" ref="C123">ifs(and(isblank($A123),isblank($B123)),"", not(iserror(vlookup($A123&amp;$B123,'3) Release_Label'!$D:$D&amp;'3) Release_Label'!$E:$E,1,0))),vlookup($A123&amp;$B123,{'3) Release_Label'!$D:$D&amp;'3) Release_Label'!$E:$E,'3) Release_Label'!$F:$F},2,0),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D123" s="114" t="str">
        <f t="array" ref="D123">ifs(and(isblank($A123),isblank($B123)),"", not(iserror(vlookup($A123&amp;$B123,'3) Release_Label'!$D:$D&amp;'3) Release_Label'!$E:$E,1,0))),vlookup($A123&amp;$B123,{'3) Release_Label'!$D:$D&amp;'3) Release_Label'!$E:$E,'3) Release_Label'!$H:$H},2,0),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E123" s="128" t="str">
        <f t="shared" si="3"/>
        <v/>
      </c>
      <c r="G123" s="93"/>
      <c r="H123" s="133"/>
      <c r="J123" s="20"/>
      <c r="K123" s="94"/>
      <c r="L123" s="20"/>
      <c r="N123" s="20"/>
      <c r="O123" s="20"/>
      <c r="P123" s="20"/>
    </row>
    <row r="124">
      <c r="A124" s="28"/>
      <c r="B124" s="93"/>
      <c r="C124" s="114" t="str">
        <f t="array" ref="C124">ifs(and(isblank($A124),isblank($B124)),"", not(iserror(vlookup($A124&amp;$B124,'3) Release_Label'!$D:$D&amp;'3) Release_Label'!$E:$E,1,0))),vlookup($A124&amp;$B124,{'3) Release_Label'!$D:$D&amp;'3) Release_Label'!$E:$E,'3) Release_Label'!$F:$F},2,0),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D124" s="114" t="str">
        <f t="array" ref="D124">ifs(and(isblank($A124),isblank($B124)),"", not(iserror(vlookup($A124&amp;$B124,'3) Release_Label'!$D:$D&amp;'3) Release_Label'!$E:$E,1,0))),vlookup($A124&amp;$B124,{'3) Release_Label'!$D:$D&amp;'3) Release_Label'!$E:$E,'3) Release_Label'!$H:$H},2,0),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E124" s="128" t="str">
        <f t="shared" si="3"/>
        <v/>
      </c>
      <c r="G124" s="93"/>
      <c r="H124" s="133"/>
      <c r="J124" s="20"/>
      <c r="K124" s="94"/>
      <c r="L124" s="20"/>
      <c r="N124" s="20"/>
      <c r="O124" s="20"/>
      <c r="P124" s="20"/>
    </row>
    <row r="125">
      <c r="A125" s="28"/>
      <c r="B125" s="93"/>
      <c r="C125" s="114" t="str">
        <f t="array" ref="C125">ifs(and(isblank($A125),isblank($B125)),"", not(iserror(vlookup($A125&amp;$B125,'3) Release_Label'!$D:$D&amp;'3) Release_Label'!$E:$E,1,0))),vlookup($A125&amp;$B125,{'3) Release_Label'!$D:$D&amp;'3) Release_Label'!$E:$E,'3) Release_Label'!$F:$F},2,0),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D125" s="114" t="str">
        <f t="array" ref="D125">ifs(and(isblank($A125),isblank($B125)),"", not(iserror(vlookup($A125&amp;$B125,'3) Release_Label'!$D:$D&amp;'3) Release_Label'!$E:$E,1,0))),vlookup($A125&amp;$B125,{'3) Release_Label'!$D:$D&amp;'3) Release_Label'!$E:$E,'3) Release_Label'!$H:$H},2,0),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E125" s="128" t="str">
        <f t="shared" si="3"/>
        <v/>
      </c>
      <c r="G125" s="93"/>
      <c r="H125" s="133"/>
      <c r="J125" s="20"/>
      <c r="K125" s="94"/>
      <c r="L125" s="20"/>
      <c r="N125" s="20"/>
      <c r="O125" s="20"/>
      <c r="P125" s="20"/>
    </row>
    <row r="126">
      <c r="A126" s="28"/>
      <c r="B126" s="93"/>
      <c r="C126" s="114" t="str">
        <f t="array" ref="C126">ifs(and(isblank($A126),isblank($B126)),"", not(iserror(vlookup($A126&amp;$B126,'3) Release_Label'!$D:$D&amp;'3) Release_Label'!$E:$E,1,0))),vlookup($A126&amp;$B126,{'3) Release_Label'!$D:$D&amp;'3) Release_Label'!$E:$E,'3) Release_Label'!$F:$F},2,0),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D126" s="114" t="str">
        <f t="array" ref="D126">ifs(and(isblank($A126),isblank($B126)),"", not(iserror(vlookup($A126&amp;$B126,'3) Release_Label'!$D:$D&amp;'3) Release_Label'!$E:$E,1,0))),vlookup($A126&amp;$B126,{'3) Release_Label'!$D:$D&amp;'3) Release_Label'!$E:$E,'3) Release_Label'!$H:$H},2,0),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E126" s="128" t="str">
        <f t="shared" si="3"/>
        <v/>
      </c>
      <c r="G126" s="93"/>
      <c r="H126" s="133"/>
      <c r="J126" s="20"/>
      <c r="K126" s="94"/>
      <c r="L126" s="20"/>
      <c r="N126" s="20"/>
      <c r="O126" s="20"/>
      <c r="P126" s="20"/>
    </row>
    <row r="127">
      <c r="A127" s="28"/>
      <c r="B127" s="93"/>
      <c r="C127" s="114" t="str">
        <f t="array" ref="C127">ifs(and(isblank($A127),isblank($B127)),"", not(iserror(vlookup($A127&amp;$B127,'3) Release_Label'!$D:$D&amp;'3) Release_Label'!$E:$E,1,0))),vlookup($A127&amp;$B127,{'3) Release_Label'!$D:$D&amp;'3) Release_Label'!$E:$E,'3) Release_Label'!$F:$F},2,0),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D127" s="114" t="str">
        <f t="array" ref="D127">ifs(and(isblank($A127),isblank($B127)),"", not(iserror(vlookup($A127&amp;$B127,'3) Release_Label'!$D:$D&amp;'3) Release_Label'!$E:$E,1,0))),vlookup($A127&amp;$B127,{'3) Release_Label'!$D:$D&amp;'3) Release_Label'!$E:$E,'3) Release_Label'!$H:$H},2,0),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E127" s="128" t="str">
        <f t="shared" si="3"/>
        <v/>
      </c>
      <c r="G127" s="93"/>
      <c r="H127" s="133"/>
      <c r="J127" s="20"/>
      <c r="K127" s="94"/>
      <c r="L127" s="20"/>
      <c r="N127" s="20"/>
      <c r="O127" s="20"/>
      <c r="P127" s="20"/>
    </row>
    <row r="128">
      <c r="A128" s="28"/>
      <c r="B128" s="93"/>
      <c r="C128" s="114" t="str">
        <f t="array" ref="C128">ifs(and(isblank($A128),isblank($B128)),"", not(iserror(vlookup($A128&amp;$B128,'3) Release_Label'!$D:$D&amp;'3) Release_Label'!$E:$E,1,0))),vlookup($A128&amp;$B128,{'3) Release_Label'!$D:$D&amp;'3) Release_Label'!$E:$E,'3) Release_Label'!$F:$F},2,0),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D128" s="114" t="str">
        <f t="array" ref="D128">ifs(and(isblank($A128),isblank($B128)),"", not(iserror(vlookup($A128&amp;$B128,'3) Release_Label'!$D:$D&amp;'3) Release_Label'!$E:$E,1,0))),vlookup($A128&amp;$B128,{'3) Release_Label'!$D:$D&amp;'3) Release_Label'!$E:$E,'3) Release_Label'!$H:$H},2,0),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E128" s="128" t="str">
        <f t="shared" si="3"/>
        <v/>
      </c>
      <c r="G128" s="93"/>
      <c r="H128" s="133"/>
      <c r="J128" s="20"/>
      <c r="K128" s="94"/>
      <c r="L128" s="20"/>
      <c r="N128" s="20"/>
      <c r="O128" s="20"/>
      <c r="P128" s="20"/>
    </row>
    <row r="129">
      <c r="A129" s="28"/>
      <c r="B129" s="93"/>
      <c r="C129" s="114" t="str">
        <f t="array" ref="C129">ifs(and(isblank($A129),isblank($B129)),"", not(iserror(vlookup($A129&amp;$B129,'3) Release_Label'!$D:$D&amp;'3) Release_Label'!$E:$E,1,0))),vlookup($A129&amp;$B129,{'3) Release_Label'!$D:$D&amp;'3) Release_Label'!$E:$E,'3) Release_Label'!$F:$F},2,0),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D129" s="114" t="str">
        <f t="array" ref="D129">ifs(and(isblank($A129),isblank($B129)),"", not(iserror(vlookup($A129&amp;$B129,'3) Release_Label'!$D:$D&amp;'3) Release_Label'!$E:$E,1,0))),vlookup($A129&amp;$B129,{'3) Release_Label'!$D:$D&amp;'3) Release_Label'!$E:$E,'3) Release_Label'!$H:$H},2,0),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E129" s="128" t="str">
        <f t="shared" si="3"/>
        <v/>
      </c>
      <c r="G129" s="93"/>
      <c r="H129" s="133"/>
      <c r="J129" s="20"/>
      <c r="K129" s="94"/>
      <c r="L129" s="20"/>
      <c r="N129" s="20"/>
      <c r="O129" s="20"/>
      <c r="P129" s="20"/>
    </row>
    <row r="130">
      <c r="A130" s="28"/>
      <c r="B130" s="93"/>
      <c r="C130" s="114" t="str">
        <f t="array" ref="C130">ifs(and(isblank($A130),isblank($B130)),"", not(iserror(vlookup($A130&amp;$B130,'3) Release_Label'!$D:$D&amp;'3) Release_Label'!$E:$E,1,0))),vlookup($A130&amp;$B130,{'3) Release_Label'!$D:$D&amp;'3) Release_Label'!$E:$E,'3) Release_Label'!$F:$F},2,0),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D130" s="114" t="str">
        <f t="array" ref="D130">ifs(and(isblank($A130),isblank($B130)),"", not(iserror(vlookup($A130&amp;$B130,'3) Release_Label'!$D:$D&amp;'3) Release_Label'!$E:$E,1,0))),vlookup($A130&amp;$B130,{'3) Release_Label'!$D:$D&amp;'3) Release_Label'!$E:$E,'3) Release_Label'!$H:$H},2,0),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E130" s="128" t="str">
        <f t="shared" si="3"/>
        <v/>
      </c>
      <c r="G130" s="93"/>
      <c r="H130" s="133"/>
      <c r="J130" s="20"/>
      <c r="K130" s="94"/>
      <c r="L130" s="20"/>
      <c r="N130" s="20"/>
      <c r="O130" s="20"/>
      <c r="P130" s="20"/>
    </row>
    <row r="131">
      <c r="A131" s="28"/>
      <c r="B131" s="93"/>
      <c r="C131" s="114" t="str">
        <f t="array" ref="C131">ifs(and(isblank($A131),isblank($B131)),"", not(iserror(vlookup($A131&amp;$B131,'3) Release_Label'!$D:$D&amp;'3) Release_Label'!$E:$E,1,0))),vlookup($A131&amp;$B131,{'3) Release_Label'!$D:$D&amp;'3) Release_Label'!$E:$E,'3) Release_Label'!$F:$F},2,0),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D131" s="114" t="str">
        <f t="array" ref="D131">ifs(and(isblank($A131),isblank($B131)),"", not(iserror(vlookup($A131&amp;$B131,'3) Release_Label'!$D:$D&amp;'3) Release_Label'!$E:$E,1,0))),vlookup($A131&amp;$B131,{'3) Release_Label'!$D:$D&amp;'3) Release_Label'!$E:$E,'3) Release_Label'!$H:$H},2,0),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E131" s="128" t="str">
        <f t="shared" si="3"/>
        <v/>
      </c>
      <c r="G131" s="93"/>
      <c r="H131" s="133"/>
      <c r="J131" s="20"/>
      <c r="K131" s="94"/>
      <c r="L131" s="20"/>
      <c r="N131" s="20"/>
      <c r="O131" s="20"/>
      <c r="P131" s="20"/>
    </row>
    <row r="132">
      <c r="A132" s="28"/>
      <c r="B132" s="93"/>
      <c r="C132" s="114" t="str">
        <f t="array" ref="C132">ifs(and(isblank($A132),isblank($B132)),"", not(iserror(vlookup($A132&amp;$B132,'3) Release_Label'!$D:$D&amp;'3) Release_Label'!$E:$E,1,0))),vlookup($A132&amp;$B132,{'3) Release_Label'!$D:$D&amp;'3) Release_Label'!$E:$E,'3) Release_Label'!$F:$F},2,0),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D132" s="114" t="str">
        <f t="array" ref="D132">ifs(and(isblank($A132),isblank($B132)),"", not(iserror(vlookup($A132&amp;$B132,'3) Release_Label'!$D:$D&amp;'3) Release_Label'!$E:$E,1,0))),vlookup($A132&amp;$B132,{'3) Release_Label'!$D:$D&amp;'3) Release_Label'!$E:$E,'3) Release_Label'!$H:$H},2,0),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E132" s="128" t="str">
        <f t="shared" si="3"/>
        <v/>
      </c>
      <c r="G132" s="93"/>
      <c r="H132" s="133"/>
      <c r="J132" s="20"/>
      <c r="K132" s="94"/>
      <c r="L132" s="20"/>
      <c r="N132" s="20"/>
      <c r="O132" s="20"/>
      <c r="P132" s="20"/>
    </row>
    <row r="133">
      <c r="A133" s="28"/>
      <c r="B133" s="93"/>
      <c r="C133" s="114" t="str">
        <f t="array" ref="C133">ifs(and(isblank($A133),isblank($B133)),"", not(iserror(vlookup($A133&amp;$B133,'3) Release_Label'!$D:$D&amp;'3) Release_Label'!$E:$E,1,0))),vlookup($A133&amp;$B133,{'3) Release_Label'!$D:$D&amp;'3) Release_Label'!$E:$E,'3) Release_Label'!$F:$F},2,0),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D133" s="114" t="str">
        <f t="array" ref="D133">ifs(and(isblank($A133),isblank($B133)),"", not(iserror(vlookup($A133&amp;$B133,'3) Release_Label'!$D:$D&amp;'3) Release_Label'!$E:$E,1,0))),vlookup($A133&amp;$B133,{'3) Release_Label'!$D:$D&amp;'3) Release_Label'!$E:$E,'3) Release_Label'!$H:$H},2,0),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E133" s="128" t="str">
        <f t="shared" si="3"/>
        <v/>
      </c>
      <c r="G133" s="93"/>
      <c r="H133" s="133"/>
      <c r="J133" s="20"/>
      <c r="K133" s="94"/>
      <c r="L133" s="20"/>
      <c r="N133" s="20"/>
      <c r="O133" s="20"/>
      <c r="P133" s="20"/>
    </row>
    <row r="134">
      <c r="A134" s="28"/>
      <c r="B134" s="93"/>
      <c r="C134" s="114" t="str">
        <f t="array" ref="C134">ifs(and(isblank($A134),isblank($B134)),"", not(iserror(vlookup($A134&amp;$B134,'3) Release_Label'!$D:$D&amp;'3) Release_Label'!$E:$E,1,0))),vlookup($A134&amp;$B134,{'3) Release_Label'!$D:$D&amp;'3) Release_Label'!$E:$E,'3) Release_Label'!$F:$F},2,0),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D134" s="114" t="str">
        <f t="array" ref="D134">ifs(and(isblank($A134),isblank($B134)),"", not(iserror(vlookup($A134&amp;$B134,'3) Release_Label'!$D:$D&amp;'3) Release_Label'!$E:$E,1,0))),vlookup($A134&amp;$B134,{'3) Release_Label'!$D:$D&amp;'3) Release_Label'!$E:$E,'3) Release_Label'!$H:$H},2,0),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E134" s="128" t="str">
        <f t="shared" si="3"/>
        <v/>
      </c>
      <c r="G134" s="93"/>
      <c r="H134" s="133"/>
      <c r="J134" s="20"/>
      <c r="K134" s="94"/>
      <c r="L134" s="20"/>
      <c r="N134" s="20"/>
      <c r="O134" s="20"/>
      <c r="P134" s="20"/>
    </row>
    <row r="135">
      <c r="A135" s="28"/>
      <c r="B135" s="93"/>
      <c r="C135" s="114" t="str">
        <f t="array" ref="C135">ifs(and(isblank($A135),isblank($B135)),"", not(iserror(vlookup($A135&amp;$B135,'3) Release_Label'!$D:$D&amp;'3) Release_Label'!$E:$E,1,0))),vlookup($A135&amp;$B135,{'3) Release_Label'!$D:$D&amp;'3) Release_Label'!$E:$E,'3) Release_Label'!$F:$F},2,0),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D135" s="114" t="str">
        <f t="array" ref="D135">ifs(and(isblank($A135),isblank($B135)),"", not(iserror(vlookup($A135&amp;$B135,'3) Release_Label'!$D:$D&amp;'3) Release_Label'!$E:$E,1,0))),vlookup($A135&amp;$B135,{'3) Release_Label'!$D:$D&amp;'3) Release_Label'!$E:$E,'3) Release_Label'!$H:$H},2,0),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E135" s="128" t="str">
        <f t="shared" si="3"/>
        <v/>
      </c>
      <c r="G135" s="93"/>
      <c r="H135" s="133"/>
      <c r="J135" s="20"/>
      <c r="K135" s="94"/>
      <c r="L135" s="20"/>
      <c r="N135" s="20"/>
      <c r="O135" s="20"/>
      <c r="P135" s="20"/>
    </row>
    <row r="136">
      <c r="A136" s="28"/>
      <c r="B136" s="93"/>
      <c r="C136" s="114" t="str">
        <f t="array" ref="C136">ifs(and(isblank($A136),isblank($B136)),"", not(iserror(vlookup($A136&amp;$B136,'3) Release_Label'!$D:$D&amp;'3) Release_Label'!$E:$E,1,0))),vlookup($A136&amp;$B136,{'3) Release_Label'!$D:$D&amp;'3) Release_Label'!$E:$E,'3) Release_Label'!$F:$F},2,0),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D136" s="114" t="str">
        <f t="array" ref="D136">ifs(and(isblank($A136),isblank($B136)),"", not(iserror(vlookup($A136&amp;$B136,'3) Release_Label'!$D:$D&amp;'3) Release_Label'!$E:$E,1,0))),vlookup($A136&amp;$B136,{'3) Release_Label'!$D:$D&amp;'3) Release_Label'!$E:$E,'3) Release_Label'!$H:$H},2,0),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E136" s="128" t="str">
        <f t="shared" si="3"/>
        <v/>
      </c>
      <c r="G136" s="93"/>
      <c r="H136" s="133"/>
      <c r="J136" s="20"/>
      <c r="K136" s="94"/>
      <c r="L136" s="20"/>
      <c r="N136" s="20"/>
      <c r="O136" s="20"/>
      <c r="P136" s="20"/>
    </row>
    <row r="137">
      <c r="A137" s="28"/>
      <c r="B137" s="93"/>
      <c r="C137" s="114" t="str">
        <f t="array" ref="C137">ifs(and(isblank($A137),isblank($B137)),"", not(iserror(vlookup($A137&amp;$B137,'3) Release_Label'!$D:$D&amp;'3) Release_Label'!$E:$E,1,0))),vlookup($A137&amp;$B137,{'3) Release_Label'!$D:$D&amp;'3) Release_Label'!$E:$E,'3) Release_Label'!$F:$F},2,0),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D137" s="114" t="str">
        <f t="array" ref="D137">ifs(and(isblank($A137),isblank($B137)),"", not(iserror(vlookup($A137&amp;$B137,'3) Release_Label'!$D:$D&amp;'3) Release_Label'!$E:$E,1,0))),vlookup($A137&amp;$B137,{'3) Release_Label'!$D:$D&amp;'3) Release_Label'!$E:$E,'3) Release_Label'!$H:$H},2,0),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E137" s="128" t="str">
        <f t="shared" si="3"/>
        <v/>
      </c>
      <c r="G137" s="93"/>
      <c r="H137" s="133"/>
      <c r="J137" s="20"/>
      <c r="K137" s="94"/>
      <c r="L137" s="20"/>
      <c r="N137" s="20"/>
      <c r="O137" s="20"/>
      <c r="P137" s="20"/>
    </row>
    <row r="138">
      <c r="A138" s="28"/>
      <c r="B138" s="93"/>
      <c r="C138" s="114" t="str">
        <f t="array" ref="C138">ifs(and(isblank($A138),isblank($B138)),"", not(iserror(vlookup($A138&amp;$B138,'3) Release_Label'!$D:$D&amp;'3) Release_Label'!$E:$E,1,0))),vlookup($A138&amp;$B138,{'3) Release_Label'!$D:$D&amp;'3) Release_Label'!$E:$E,'3) Release_Label'!$F:$F},2,0),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D138" s="114" t="str">
        <f t="array" ref="D138">ifs(and(isblank($A138),isblank($B138)),"", not(iserror(vlookup($A138&amp;$B138,'3) Release_Label'!$D:$D&amp;'3) Release_Label'!$E:$E,1,0))),vlookup($A138&amp;$B138,{'3) Release_Label'!$D:$D&amp;'3) Release_Label'!$E:$E,'3) Release_Label'!$H:$H},2,0),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E138" s="128" t="str">
        <f t="shared" si="3"/>
        <v/>
      </c>
      <c r="G138" s="93"/>
      <c r="H138" s="133"/>
      <c r="J138" s="20"/>
      <c r="K138" s="94"/>
      <c r="L138" s="20"/>
      <c r="N138" s="20"/>
      <c r="O138" s="20"/>
      <c r="P138" s="20"/>
    </row>
    <row r="139">
      <c r="A139" s="28"/>
      <c r="B139" s="93"/>
      <c r="C139" s="114" t="str">
        <f t="array" ref="C139">ifs(and(isblank($A139),isblank($B139)),"", not(iserror(vlookup($A139&amp;$B139,'3) Release_Label'!$D:$D&amp;'3) Release_Label'!$E:$E,1,0))),vlookup($A139&amp;$B139,{'3) Release_Label'!$D:$D&amp;'3) Release_Label'!$E:$E,'3) Release_Label'!$F:$F},2,0),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D139" s="114" t="str">
        <f t="array" ref="D139">ifs(and(isblank($A139),isblank($B139)),"", not(iserror(vlookup($A139&amp;$B139,'3) Release_Label'!$D:$D&amp;'3) Release_Label'!$E:$E,1,0))),vlookup($A139&amp;$B139,{'3) Release_Label'!$D:$D&amp;'3) Release_Label'!$E:$E,'3) Release_Label'!$H:$H},2,0),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E139" s="128" t="str">
        <f t="shared" si="3"/>
        <v/>
      </c>
      <c r="G139" s="93"/>
      <c r="H139" s="133"/>
      <c r="J139" s="20"/>
      <c r="K139" s="94"/>
      <c r="L139" s="20"/>
      <c r="N139" s="20"/>
      <c r="O139" s="20"/>
      <c r="P139" s="20"/>
    </row>
    <row r="140">
      <c r="A140" s="28"/>
      <c r="B140" s="93"/>
      <c r="C140" s="114" t="str">
        <f t="array" ref="C140">ifs(and(isblank($A140),isblank($B140)),"", not(iserror(vlookup($A140&amp;$B140,'3) Release_Label'!$D:$D&amp;'3) Release_Label'!$E:$E,1,0))),vlookup($A140&amp;$B140,{'3) Release_Label'!$D:$D&amp;'3) Release_Label'!$E:$E,'3) Release_Label'!$F:$F},2,0),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D140" s="114" t="str">
        <f t="array" ref="D140">ifs(and(isblank($A140),isblank($B140)),"", not(iserror(vlookup($A140&amp;$B140,'3) Release_Label'!$D:$D&amp;'3) Release_Label'!$E:$E,1,0))),vlookup($A140&amp;$B140,{'3) Release_Label'!$D:$D&amp;'3) Release_Label'!$E:$E,'3) Release_Label'!$H:$H},2,0),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E140" s="128" t="str">
        <f t="shared" si="3"/>
        <v/>
      </c>
      <c r="G140" s="93"/>
      <c r="H140" s="133"/>
      <c r="J140" s="20"/>
      <c r="K140" s="94"/>
      <c r="L140" s="20"/>
      <c r="N140" s="20"/>
      <c r="O140" s="20"/>
      <c r="P140" s="20"/>
    </row>
    <row r="141">
      <c r="A141" s="28"/>
      <c r="B141" s="93"/>
      <c r="C141" s="114" t="str">
        <f t="array" ref="C141">ifs(and(isblank($A141),isblank($B141)),"", not(iserror(vlookup($A141&amp;$B141,'3) Release_Label'!$D:$D&amp;'3) Release_Label'!$E:$E,1,0))),vlookup($A141&amp;$B141,{'3) Release_Label'!$D:$D&amp;'3) Release_Label'!$E:$E,'3) Release_Label'!$F:$F},2,0),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D141" s="114" t="str">
        <f t="array" ref="D141">ifs(and(isblank($A141),isblank($B141)),"", not(iserror(vlookup($A141&amp;$B141,'3) Release_Label'!$D:$D&amp;'3) Release_Label'!$E:$E,1,0))),vlookup($A141&amp;$B141,{'3) Release_Label'!$D:$D&amp;'3) Release_Label'!$E:$E,'3) Release_Label'!$H:$H},2,0),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E141" s="128" t="str">
        <f t="shared" si="3"/>
        <v/>
      </c>
      <c r="G141" s="93"/>
      <c r="H141" s="133"/>
      <c r="J141" s="20"/>
      <c r="K141" s="94"/>
      <c r="L141" s="20"/>
      <c r="N141" s="20"/>
      <c r="O141" s="20"/>
      <c r="P141" s="20"/>
    </row>
    <row r="142">
      <c r="A142" s="28"/>
      <c r="B142" s="93"/>
      <c r="C142" s="114" t="str">
        <f t="array" ref="C142">ifs(and(isblank($A142),isblank($B142)),"", not(iserror(vlookup($A142&amp;$B142,'3) Release_Label'!$D:$D&amp;'3) Release_Label'!$E:$E,1,0))),vlookup($A142&amp;$B142,{'3) Release_Label'!$D:$D&amp;'3) Release_Label'!$E:$E,'3) Release_Label'!$F:$F},2,0),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D142" s="114" t="str">
        <f t="array" ref="D142">ifs(and(isblank($A142),isblank($B142)),"", not(iserror(vlookup($A142&amp;$B142,'3) Release_Label'!$D:$D&amp;'3) Release_Label'!$E:$E,1,0))),vlookup($A142&amp;$B142,{'3) Release_Label'!$D:$D&amp;'3) Release_Label'!$E:$E,'3) Release_Label'!$H:$H},2,0),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E142" s="128" t="str">
        <f t="shared" si="3"/>
        <v/>
      </c>
      <c r="G142" s="93"/>
      <c r="H142" s="133"/>
      <c r="J142" s="20"/>
      <c r="K142" s="94"/>
      <c r="L142" s="20"/>
      <c r="N142" s="20"/>
      <c r="O142" s="20"/>
      <c r="P142" s="20"/>
    </row>
    <row r="143">
      <c r="A143" s="28"/>
      <c r="B143" s="93"/>
      <c r="C143" s="114" t="str">
        <f t="array" ref="C143">ifs(and(isblank($A143),isblank($B143)),"", not(iserror(vlookup($A143&amp;$B143,'3) Release_Label'!$D:$D&amp;'3) Release_Label'!$E:$E,1,0))),vlookup($A143&amp;$B143,{'3) Release_Label'!$D:$D&amp;'3) Release_Label'!$E:$E,'3) Release_Label'!$F:$F},2,0),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D143" s="114" t="str">
        <f t="array" ref="D143">ifs(and(isblank($A143),isblank($B143)),"", not(iserror(vlookup($A143&amp;$B143,'3) Release_Label'!$D:$D&amp;'3) Release_Label'!$E:$E,1,0))),vlookup($A143&amp;$B143,{'3) Release_Label'!$D:$D&amp;'3) Release_Label'!$E:$E,'3) Release_Label'!$H:$H},2,0),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E143" s="128" t="str">
        <f t="shared" si="3"/>
        <v/>
      </c>
      <c r="G143" s="93"/>
      <c r="H143" s="133"/>
      <c r="J143" s="20"/>
      <c r="K143" s="94"/>
      <c r="L143" s="20"/>
      <c r="N143" s="20"/>
      <c r="O143" s="20"/>
      <c r="P143" s="20"/>
    </row>
    <row r="144">
      <c r="A144" s="28"/>
      <c r="B144" s="93"/>
      <c r="C144" s="114" t="str">
        <f t="array" ref="C144">ifs(and(isblank($A144),isblank($B144)),"", not(iserror(vlookup($A144&amp;$B144,'3) Release_Label'!$D:$D&amp;'3) Release_Label'!$E:$E,1,0))),vlookup($A144&amp;$B144,{'3) Release_Label'!$D:$D&amp;'3) Release_Label'!$E:$E,'3) Release_Label'!$F:$F},2,0),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D144" s="114" t="str">
        <f t="array" ref="D144">ifs(and(isblank($A144),isblank($B144)),"", not(iserror(vlookup($A144&amp;$B144,'3) Release_Label'!$D:$D&amp;'3) Release_Label'!$E:$E,1,0))),vlookup($A144&amp;$B144,{'3) Release_Label'!$D:$D&amp;'3) Release_Label'!$E:$E,'3) Release_Label'!$H:$H},2,0),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E144" s="128" t="str">
        <f t="shared" si="3"/>
        <v/>
      </c>
      <c r="G144" s="93"/>
      <c r="H144" s="133"/>
      <c r="J144" s="20"/>
      <c r="K144" s="94"/>
      <c r="L144" s="20"/>
      <c r="N144" s="20"/>
      <c r="O144" s="20"/>
      <c r="P144" s="20"/>
    </row>
    <row r="145">
      <c r="A145" s="28"/>
      <c r="B145" s="93"/>
      <c r="C145" s="114" t="str">
        <f t="array" ref="C145">ifs(and(isblank($A145),isblank($B145)),"", not(iserror(vlookup($A145&amp;$B145,'3) Release_Label'!$D:$D&amp;'3) Release_Label'!$E:$E,1,0))),vlookup($A145&amp;$B145,{'3) Release_Label'!$D:$D&amp;'3) Release_Label'!$E:$E,'3) Release_Label'!$F:$F},2,0),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D145" s="114" t="str">
        <f t="array" ref="D145">ifs(and(isblank($A145),isblank($B145)),"", not(iserror(vlookup($A145&amp;$B145,'3) Release_Label'!$D:$D&amp;'3) Release_Label'!$E:$E,1,0))),vlookup($A145&amp;$B145,{'3) Release_Label'!$D:$D&amp;'3) Release_Label'!$E:$E,'3) Release_Label'!$H:$H},2,0),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E145" s="128" t="str">
        <f t="shared" si="3"/>
        <v/>
      </c>
      <c r="G145" s="93"/>
      <c r="H145" s="133"/>
      <c r="J145" s="20"/>
      <c r="K145" s="94"/>
      <c r="L145" s="20"/>
      <c r="N145" s="20"/>
      <c r="O145" s="20"/>
      <c r="P145" s="20"/>
    </row>
    <row r="146">
      <c r="A146" s="28"/>
      <c r="B146" s="93"/>
      <c r="C146" s="114" t="str">
        <f t="array" ref="C146">ifs(and(isblank($A146),isblank($B146)),"", not(iserror(vlookup($A146&amp;$B146,'3) Release_Label'!$D:$D&amp;'3) Release_Label'!$E:$E,1,0))),vlookup($A146&amp;$B146,{'3) Release_Label'!$D:$D&amp;'3) Release_Label'!$E:$E,'3) Release_Label'!$F:$F},2,0),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D146" s="114" t="str">
        <f t="array" ref="D146">ifs(and(isblank($A146),isblank($B146)),"", not(iserror(vlookup($A146&amp;$B146,'3) Release_Label'!$D:$D&amp;'3) Release_Label'!$E:$E,1,0))),vlookup($A146&amp;$B146,{'3) Release_Label'!$D:$D&amp;'3) Release_Label'!$E:$E,'3) Release_Label'!$H:$H},2,0),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E146" s="128" t="str">
        <f t="shared" si="3"/>
        <v/>
      </c>
      <c r="G146" s="93"/>
      <c r="H146" s="133"/>
      <c r="J146" s="20"/>
      <c r="K146" s="94"/>
      <c r="L146" s="20"/>
      <c r="N146" s="20"/>
      <c r="O146" s="20"/>
      <c r="P146" s="20"/>
    </row>
    <row r="147">
      <c r="A147" s="28"/>
      <c r="B147" s="93"/>
      <c r="C147" s="114" t="str">
        <f t="array" ref="C147">ifs(and(isblank($A147),isblank($B147)),"", not(iserror(vlookup($A147&amp;$B147,'3) Release_Label'!$D:$D&amp;'3) Release_Label'!$E:$E,1,0))),vlookup($A147&amp;$B147,{'3) Release_Label'!$D:$D&amp;'3) Release_Label'!$E:$E,'3) Release_Label'!$F:$F},2,0),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D147" s="114" t="str">
        <f t="array" ref="D147">ifs(and(isblank($A147),isblank($B147)),"", not(iserror(vlookup($A147&amp;$B147,'3) Release_Label'!$D:$D&amp;'3) Release_Label'!$E:$E,1,0))),vlookup($A147&amp;$B147,{'3) Release_Label'!$D:$D&amp;'3) Release_Label'!$E:$E,'3) Release_Label'!$H:$H},2,0),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E147" s="128" t="str">
        <f t="shared" si="3"/>
        <v/>
      </c>
      <c r="G147" s="93"/>
      <c r="H147" s="133"/>
      <c r="J147" s="20"/>
      <c r="K147" s="94"/>
      <c r="L147" s="20"/>
      <c r="N147" s="20"/>
      <c r="O147" s="20"/>
      <c r="P147" s="20"/>
    </row>
    <row r="148">
      <c r="A148" s="28"/>
      <c r="B148" s="93"/>
      <c r="C148" s="114" t="str">
        <f t="array" ref="C148">ifs(and(isblank($A148),isblank($B148)),"", not(iserror(vlookup($A148&amp;$B148,'3) Release_Label'!$D:$D&amp;'3) Release_Label'!$E:$E,1,0))),vlookup($A148&amp;$B148,{'3) Release_Label'!$D:$D&amp;'3) Release_Label'!$E:$E,'3) Release_Label'!$F:$F},2,0),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D148" s="114" t="str">
        <f t="array" ref="D148">ifs(and(isblank($A148),isblank($B148)),"", not(iserror(vlookup($A148&amp;$B148,'3) Release_Label'!$D:$D&amp;'3) Release_Label'!$E:$E,1,0))),vlookup($A148&amp;$B148,{'3) Release_Label'!$D:$D&amp;'3) Release_Label'!$E:$E,'3) Release_Label'!$H:$H},2,0),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E148" s="128" t="str">
        <f t="shared" si="3"/>
        <v/>
      </c>
      <c r="G148" s="93"/>
      <c r="H148" s="133"/>
      <c r="J148" s="20"/>
      <c r="K148" s="94"/>
      <c r="L148" s="20"/>
      <c r="N148" s="20"/>
      <c r="O148" s="20"/>
      <c r="P148" s="20"/>
    </row>
    <row r="149">
      <c r="A149" s="28"/>
      <c r="B149" s="93"/>
      <c r="C149" s="114" t="str">
        <f t="array" ref="C149">ifs(and(isblank($A149),isblank($B149)),"", not(iserror(vlookup($A149&amp;$B149,'3) Release_Label'!$D:$D&amp;'3) Release_Label'!$E:$E,1,0))),vlookup($A149&amp;$B149,{'3) Release_Label'!$D:$D&amp;'3) Release_Label'!$E:$E,'3) Release_Label'!$F:$F},2,0),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D149" s="114" t="str">
        <f t="array" ref="D149">ifs(and(isblank($A149),isblank($B149)),"", not(iserror(vlookup($A149&amp;$B149,'3) Release_Label'!$D:$D&amp;'3) Release_Label'!$E:$E,1,0))),vlookup($A149&amp;$B149,{'3) Release_Label'!$D:$D&amp;'3) Release_Label'!$E:$E,'3) Release_Label'!$H:$H},2,0),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E149" s="128" t="str">
        <f t="shared" si="3"/>
        <v/>
      </c>
      <c r="G149" s="93"/>
      <c r="H149" s="133"/>
      <c r="J149" s="20"/>
      <c r="K149" s="94"/>
      <c r="L149" s="20"/>
      <c r="N149" s="20"/>
      <c r="O149" s="20"/>
      <c r="P149" s="20"/>
    </row>
    <row r="150">
      <c r="A150" s="28"/>
      <c r="B150" s="93"/>
      <c r="C150" s="114" t="str">
        <f t="array" ref="C150">ifs(and(isblank($A150),isblank($B150)),"", not(iserror(vlookup($A150&amp;$B150,'3) Release_Label'!$D:$D&amp;'3) Release_Label'!$E:$E,1,0))),vlookup($A150&amp;$B150,{'3) Release_Label'!$D:$D&amp;'3) Release_Label'!$E:$E,'3) Release_Label'!$F:$F},2,0),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D150" s="114" t="str">
        <f t="array" ref="D150">ifs(and(isblank($A150),isblank($B150)),"", not(iserror(vlookup($A150&amp;$B150,'3) Release_Label'!$D:$D&amp;'3) Release_Label'!$E:$E,1,0))),vlookup($A150&amp;$B150,{'3) Release_Label'!$D:$D&amp;'3) Release_Label'!$E:$E,'3) Release_Label'!$H:$H},2,0),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E150" s="128" t="str">
        <f t="shared" si="3"/>
        <v/>
      </c>
      <c r="G150" s="93"/>
      <c r="H150" s="133"/>
      <c r="J150" s="20"/>
      <c r="K150" s="94"/>
      <c r="L150" s="20"/>
      <c r="N150" s="20"/>
      <c r="O150" s="20"/>
      <c r="P150" s="20"/>
    </row>
    <row r="151">
      <c r="A151" s="28"/>
      <c r="B151" s="93"/>
      <c r="C151" s="114" t="str">
        <f t="array" ref="C151">ifs(and(isblank($A151),isblank($B151)),"", not(iserror(vlookup($A151&amp;$B151,'3) Release_Label'!$D:$D&amp;'3) Release_Label'!$E:$E,1,0))),vlookup($A151&amp;$B151,{'3) Release_Label'!$D:$D&amp;'3) Release_Label'!$E:$E,'3) Release_Label'!$F:$F},2,0),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D151" s="114" t="str">
        <f t="array" ref="D151">ifs(and(isblank($A151),isblank($B151)),"", not(iserror(vlookup($A151&amp;$B151,'3) Release_Label'!$D:$D&amp;'3) Release_Label'!$E:$E,1,0))),vlookup($A151&amp;$B151,{'3) Release_Label'!$D:$D&amp;'3) Release_Label'!$E:$E,'3) Release_Label'!$H:$H},2,0),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E151" s="128" t="str">
        <f t="shared" si="3"/>
        <v/>
      </c>
      <c r="G151" s="93"/>
      <c r="H151" s="133"/>
      <c r="J151" s="20"/>
      <c r="K151" s="94"/>
      <c r="L151" s="20"/>
      <c r="N151" s="20"/>
      <c r="O151" s="20"/>
      <c r="P151" s="20"/>
    </row>
    <row r="152">
      <c r="A152" s="28"/>
      <c r="B152" s="93"/>
      <c r="C152" s="114" t="str">
        <f t="array" ref="C152">ifs(and(isblank($A152),isblank($B152)),"", not(iserror(vlookup($A152&amp;$B152,'3) Release_Label'!$D:$D&amp;'3) Release_Label'!$E:$E,1,0))),vlookup($A152&amp;$B152,{'3) Release_Label'!$D:$D&amp;'3) Release_Label'!$E:$E,'3) Release_Label'!$F:$F},2,0),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D152" s="114" t="str">
        <f t="array" ref="D152">ifs(and(isblank($A152),isblank($B152)),"", not(iserror(vlookup($A152&amp;$B152,'3) Release_Label'!$D:$D&amp;'3) Release_Label'!$E:$E,1,0))),vlookup($A152&amp;$B152,{'3) Release_Label'!$D:$D&amp;'3) Release_Label'!$E:$E,'3) Release_Label'!$H:$H},2,0),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E152" s="128" t="str">
        <f t="shared" si="3"/>
        <v/>
      </c>
      <c r="G152" s="93"/>
      <c r="H152" s="133"/>
      <c r="J152" s="20"/>
      <c r="K152" s="94"/>
      <c r="L152" s="20"/>
      <c r="N152" s="20"/>
      <c r="O152" s="20"/>
      <c r="P152" s="20"/>
    </row>
    <row r="153">
      <c r="A153" s="28"/>
      <c r="B153" s="93"/>
      <c r="C153" s="114" t="str">
        <f t="array" ref="C153">ifs(and(isblank($A153),isblank($B153)),"", not(iserror(vlookup($A153&amp;$B153,'3) Release_Label'!$D:$D&amp;'3) Release_Label'!$E:$E,1,0))),vlookup($A153&amp;$B153,{'3) Release_Label'!$D:$D&amp;'3) Release_Label'!$E:$E,'3) Release_Label'!$F:$F},2,0),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D153" s="114" t="str">
        <f t="array" ref="D153">ifs(and(isblank($A153),isblank($B153)),"", not(iserror(vlookup($A153&amp;$B153,'3) Release_Label'!$D:$D&amp;'3) Release_Label'!$E:$E,1,0))),vlookup($A153&amp;$B153,{'3) Release_Label'!$D:$D&amp;'3) Release_Label'!$E:$E,'3) Release_Label'!$H:$H},2,0),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E153" s="128" t="str">
        <f t="shared" si="3"/>
        <v/>
      </c>
      <c r="G153" s="93"/>
      <c r="H153" s="133"/>
      <c r="J153" s="20"/>
      <c r="K153" s="94"/>
      <c r="L153" s="20"/>
      <c r="N153" s="20"/>
      <c r="O153" s="20"/>
      <c r="P153" s="20"/>
    </row>
    <row r="154">
      <c r="A154" s="28"/>
      <c r="B154" s="93"/>
      <c r="C154" s="114" t="str">
        <f t="array" ref="C154">ifs(and(isblank($A154),isblank($B154)),"", not(iserror(vlookup($A154&amp;$B154,'3) Release_Label'!$D:$D&amp;'3) Release_Label'!$E:$E,1,0))),vlookup($A154&amp;$B154,{'3) Release_Label'!$D:$D&amp;'3) Release_Label'!$E:$E,'3) Release_Label'!$F:$F},2,0),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D154" s="114" t="str">
        <f t="array" ref="D154">ifs(and(isblank($A154),isblank($B154)),"", not(iserror(vlookup($A154&amp;$B154,'3) Release_Label'!$D:$D&amp;'3) Release_Label'!$E:$E,1,0))),vlookup($A154&amp;$B154,{'3) Release_Label'!$D:$D&amp;'3) Release_Label'!$E:$E,'3) Release_Label'!$H:$H},2,0),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E154" s="128" t="str">
        <f t="shared" si="3"/>
        <v/>
      </c>
      <c r="G154" s="93"/>
      <c r="H154" s="133"/>
      <c r="J154" s="20"/>
      <c r="K154" s="94"/>
      <c r="L154" s="20"/>
      <c r="N154" s="20"/>
      <c r="O154" s="20"/>
      <c r="P154" s="20"/>
    </row>
    <row r="155">
      <c r="A155" s="28"/>
      <c r="B155" s="93"/>
      <c r="C155" s="114" t="str">
        <f t="array" ref="C155">ifs(and(isblank($A155),isblank($B155)),"", not(iserror(vlookup($A155&amp;$B155,'3) Release_Label'!$D:$D&amp;'3) Release_Label'!$E:$E,1,0))),vlookup($A155&amp;$B155,{'3) Release_Label'!$D:$D&amp;'3) Release_Label'!$E:$E,'3) Release_Label'!$F:$F},2,0),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D155" s="114" t="str">
        <f t="array" ref="D155">ifs(and(isblank($A155),isblank($B155)),"", not(iserror(vlookup($A155&amp;$B155,'3) Release_Label'!$D:$D&amp;'3) Release_Label'!$E:$E,1,0))),vlookup($A155&amp;$B155,{'3) Release_Label'!$D:$D&amp;'3) Release_Label'!$E:$E,'3) Release_Label'!$H:$H},2,0),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E155" s="128" t="str">
        <f t="shared" si="3"/>
        <v/>
      </c>
      <c r="G155" s="93"/>
      <c r="H155" s="133"/>
      <c r="J155" s="20"/>
      <c r="K155" s="94"/>
      <c r="L155" s="20"/>
      <c r="N155" s="20"/>
      <c r="O155" s="20"/>
      <c r="P155" s="20"/>
    </row>
    <row r="156">
      <c r="A156" s="28"/>
      <c r="B156" s="93"/>
      <c r="C156" s="114" t="str">
        <f t="array" ref="C156">ifs(and(isblank($A156),isblank($B156)),"", not(iserror(vlookup($A156&amp;$B156,'3) Release_Label'!$D:$D&amp;'3) Release_Label'!$E:$E,1,0))),vlookup($A156&amp;$B156,{'3) Release_Label'!$D:$D&amp;'3) Release_Label'!$E:$E,'3) Release_Label'!$F:$F},2,0),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D156" s="114" t="str">
        <f t="array" ref="D156">ifs(and(isblank($A156),isblank($B156)),"", not(iserror(vlookup($A156&amp;$B156,'3) Release_Label'!$D:$D&amp;'3) Release_Label'!$E:$E,1,0))),vlookup($A156&amp;$B156,{'3) Release_Label'!$D:$D&amp;'3) Release_Label'!$E:$E,'3) Release_Label'!$H:$H},2,0),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E156" s="128" t="str">
        <f t="shared" si="3"/>
        <v/>
      </c>
      <c r="G156" s="93"/>
      <c r="H156" s="133"/>
      <c r="J156" s="20"/>
      <c r="K156" s="94"/>
      <c r="L156" s="20"/>
      <c r="N156" s="20"/>
      <c r="O156" s="20"/>
      <c r="P156" s="20"/>
    </row>
    <row r="157">
      <c r="A157" s="28"/>
      <c r="B157" s="93"/>
      <c r="C157" s="114" t="str">
        <f t="array" ref="C157">ifs(and(isblank($A157),isblank($B157)),"", not(iserror(vlookup($A157&amp;$B157,'3) Release_Label'!$D:$D&amp;'3) Release_Label'!$E:$E,1,0))),vlookup($A157&amp;$B157,{'3) Release_Label'!$D:$D&amp;'3) Release_Label'!$E:$E,'3) Release_Label'!$F:$F},2,0),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D157" s="114" t="str">
        <f t="array" ref="D157">ifs(and(isblank($A157),isblank($B157)),"", not(iserror(vlookup($A157&amp;$B157,'3) Release_Label'!$D:$D&amp;'3) Release_Label'!$E:$E,1,0))),vlookup($A157&amp;$B157,{'3) Release_Label'!$D:$D&amp;'3) Release_Label'!$E:$E,'3) Release_Label'!$H:$H},2,0),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E157" s="128" t="str">
        <f t="shared" si="3"/>
        <v/>
      </c>
      <c r="G157" s="93"/>
      <c r="H157" s="133"/>
      <c r="J157" s="20"/>
      <c r="K157" s="94"/>
      <c r="L157" s="20"/>
      <c r="N157" s="20"/>
      <c r="O157" s="20"/>
      <c r="P157" s="20"/>
    </row>
    <row r="158">
      <c r="A158" s="28"/>
      <c r="B158" s="93"/>
      <c r="C158" s="114" t="str">
        <f t="array" ref="C158">ifs(and(isblank($A158),isblank($B158)),"", not(iserror(vlookup($A158&amp;$B158,'3) Release_Label'!$D:$D&amp;'3) Release_Label'!$E:$E,1,0))),vlookup($A158&amp;$B158,{'3) Release_Label'!$D:$D&amp;'3) Release_Label'!$E:$E,'3) Release_Label'!$F:$F},2,0),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D158" s="114" t="str">
        <f t="array" ref="D158">ifs(and(isblank($A158),isblank($B158)),"", not(iserror(vlookup($A158&amp;$B158,'3) Release_Label'!$D:$D&amp;'3) Release_Label'!$E:$E,1,0))),vlookup($A158&amp;$B158,{'3) Release_Label'!$D:$D&amp;'3) Release_Label'!$E:$E,'3) Release_Label'!$H:$H},2,0),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E158" s="128" t="str">
        <f t="shared" si="3"/>
        <v/>
      </c>
      <c r="G158" s="93"/>
      <c r="H158" s="133"/>
      <c r="J158" s="20"/>
      <c r="K158" s="94"/>
      <c r="L158" s="20"/>
      <c r="N158" s="20"/>
      <c r="O158" s="20"/>
      <c r="P158" s="20"/>
    </row>
    <row r="159">
      <c r="A159" s="28"/>
      <c r="B159" s="93"/>
      <c r="C159" s="114" t="str">
        <f t="array" ref="C159">ifs(and(isblank($A159),isblank($B159)),"", not(iserror(vlookup($A159&amp;$B159,'3) Release_Label'!$D:$D&amp;'3) Release_Label'!$E:$E,1,0))),vlookup($A159&amp;$B159,{'3) Release_Label'!$D:$D&amp;'3) Release_Label'!$E:$E,'3) Release_Label'!$F:$F},2,0),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D159" s="114" t="str">
        <f t="array" ref="D159">ifs(and(isblank($A159),isblank($B159)),"", not(iserror(vlookup($A159&amp;$B159,'3) Release_Label'!$D:$D&amp;'3) Release_Label'!$E:$E,1,0))),vlookup($A159&amp;$B159,{'3) Release_Label'!$D:$D&amp;'3) Release_Label'!$E:$E,'3) Release_Label'!$H:$H},2,0),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E159" s="128" t="str">
        <f t="shared" si="3"/>
        <v/>
      </c>
      <c r="G159" s="93"/>
      <c r="H159" s="133"/>
      <c r="J159" s="20"/>
      <c r="K159" s="94"/>
      <c r="L159" s="20"/>
      <c r="N159" s="20"/>
      <c r="O159" s="20"/>
      <c r="P159" s="20"/>
    </row>
    <row r="160">
      <c r="A160" s="28"/>
      <c r="B160" s="93"/>
      <c r="C160" s="114" t="str">
        <f t="array" ref="C160">ifs(and(isblank($A160),isblank($B160)),"", not(iserror(vlookup($A160&amp;$B160,'3) Release_Label'!$D:$D&amp;'3) Release_Label'!$E:$E,1,0))),vlookup($A160&amp;$B160,{'3) Release_Label'!$D:$D&amp;'3) Release_Label'!$E:$E,'3) Release_Label'!$F:$F},2,0),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D160" s="114" t="str">
        <f t="array" ref="D160">ifs(and(isblank($A160),isblank($B160)),"", not(iserror(vlookup($A160&amp;$B160,'3) Release_Label'!$D:$D&amp;'3) Release_Label'!$E:$E,1,0))),vlookup($A160&amp;$B160,{'3) Release_Label'!$D:$D&amp;'3) Release_Label'!$E:$E,'3) Release_Label'!$H:$H},2,0),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E160" s="128" t="str">
        <f t="shared" si="3"/>
        <v/>
      </c>
      <c r="G160" s="93"/>
      <c r="H160" s="133"/>
      <c r="J160" s="20"/>
      <c r="K160" s="94"/>
      <c r="L160" s="20"/>
      <c r="N160" s="20"/>
      <c r="O160" s="20"/>
      <c r="P160" s="20"/>
    </row>
    <row r="161">
      <c r="A161" s="28"/>
      <c r="B161" s="93"/>
      <c r="C161" s="114" t="str">
        <f t="array" ref="C161">ifs(and(isblank($A161),isblank($B161)),"", not(iserror(vlookup($A161&amp;$B161,'3) Release_Label'!$D:$D&amp;'3) Release_Label'!$E:$E,1,0))),vlookup($A161&amp;$B161,{'3) Release_Label'!$D:$D&amp;'3) Release_Label'!$E:$E,'3) Release_Label'!$F:$F},2,0),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D161" s="114" t="str">
        <f t="array" ref="D161">ifs(and(isblank($A161),isblank($B161)),"", not(iserror(vlookup($A161&amp;$B161,'3) Release_Label'!$D:$D&amp;'3) Release_Label'!$E:$E,1,0))),vlookup($A161&amp;$B161,{'3) Release_Label'!$D:$D&amp;'3) Release_Label'!$E:$E,'3) Release_Label'!$H:$H},2,0),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E161" s="128" t="str">
        <f t="shared" si="3"/>
        <v/>
      </c>
      <c r="G161" s="93"/>
      <c r="H161" s="133"/>
      <c r="J161" s="20"/>
      <c r="K161" s="94"/>
      <c r="L161" s="20"/>
      <c r="N161" s="20"/>
      <c r="O161" s="20"/>
      <c r="P161" s="20"/>
    </row>
    <row r="162">
      <c r="A162" s="28"/>
      <c r="B162" s="93"/>
      <c r="C162" s="114" t="str">
        <f t="array" ref="C162">ifs(and(isblank($A162),isblank($B162)),"", not(iserror(vlookup($A162&amp;$B162,'3) Release_Label'!$D:$D&amp;'3) Release_Label'!$E:$E,1,0))),vlookup($A162&amp;$B162,{'3) Release_Label'!$D:$D&amp;'3) Release_Label'!$E:$E,'3) Release_Label'!$F:$F},2,0),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D162" s="114" t="str">
        <f t="array" ref="D162">ifs(and(isblank($A162),isblank($B162)),"", not(iserror(vlookup($A162&amp;$B162,'3) Release_Label'!$D:$D&amp;'3) Release_Label'!$E:$E,1,0))),vlookup($A162&amp;$B162,{'3) Release_Label'!$D:$D&amp;'3) Release_Label'!$E:$E,'3) Release_Label'!$H:$H},2,0),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E162" s="128" t="str">
        <f t="shared" si="3"/>
        <v/>
      </c>
      <c r="G162" s="93"/>
      <c r="H162" s="133"/>
      <c r="J162" s="20"/>
      <c r="K162" s="94"/>
      <c r="L162" s="20"/>
      <c r="N162" s="20"/>
      <c r="O162" s="20"/>
      <c r="P162" s="20"/>
    </row>
    <row r="163">
      <c r="A163" s="28"/>
      <c r="B163" s="93"/>
      <c r="C163" s="114" t="str">
        <f t="array" ref="C163">ifs(and(isblank($A163),isblank($B163)),"", not(iserror(vlookup($A163&amp;$B163,'3) Release_Label'!$D:$D&amp;'3) Release_Label'!$E:$E,1,0))),vlookup($A163&amp;$B163,{'3) Release_Label'!$D:$D&amp;'3) Release_Label'!$E:$E,'3) Release_Label'!$F:$F},2,0),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D163" s="114" t="str">
        <f t="array" ref="D163">ifs(and(isblank($A163),isblank($B163)),"", not(iserror(vlookup($A163&amp;$B163,'3) Release_Label'!$D:$D&amp;'3) Release_Label'!$E:$E,1,0))),vlookup($A163&amp;$B163,{'3) Release_Label'!$D:$D&amp;'3) Release_Label'!$E:$E,'3) Release_Label'!$H:$H},2,0),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E163" s="128" t="str">
        <f t="shared" si="3"/>
        <v/>
      </c>
      <c r="G163" s="93"/>
      <c r="H163" s="133"/>
      <c r="J163" s="20"/>
      <c r="K163" s="94"/>
      <c r="L163" s="20"/>
      <c r="N163" s="20"/>
      <c r="O163" s="20"/>
      <c r="P163" s="20"/>
    </row>
    <row r="164">
      <c r="A164" s="28"/>
      <c r="B164" s="93"/>
      <c r="C164" s="114" t="str">
        <f t="array" ref="C164">ifs(and(isblank($A164),isblank($B164)),"", not(iserror(vlookup($A164&amp;$B164,'3) Release_Label'!$D:$D&amp;'3) Release_Label'!$E:$E,1,0))),vlookup($A164&amp;$B164,{'3) Release_Label'!$D:$D&amp;'3) Release_Label'!$E:$E,'3) Release_Label'!$F:$F},2,0),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D164" s="114" t="str">
        <f t="array" ref="D164">ifs(and(isblank($A164),isblank($B164)),"", not(iserror(vlookup($A164&amp;$B164,'3) Release_Label'!$D:$D&amp;'3) Release_Label'!$E:$E,1,0))),vlookup($A164&amp;$B164,{'3) Release_Label'!$D:$D&amp;'3) Release_Label'!$E:$E,'3) Release_Label'!$H:$H},2,0),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E164" s="128" t="str">
        <f t="shared" si="3"/>
        <v/>
      </c>
      <c r="G164" s="93"/>
      <c r="H164" s="133"/>
      <c r="J164" s="20"/>
      <c r="K164" s="94"/>
      <c r="L164" s="20"/>
      <c r="N164" s="20"/>
      <c r="O164" s="20"/>
      <c r="P164" s="20"/>
    </row>
    <row r="165">
      <c r="A165" s="28"/>
      <c r="B165" s="93"/>
      <c r="C165" s="114" t="str">
        <f t="array" ref="C165">ifs(and(isblank($A165),isblank($B165)),"", not(iserror(vlookup($A165&amp;$B165,'3) Release_Label'!$D:$D&amp;'3) Release_Label'!$E:$E,1,0))),vlookup($A165&amp;$B165,{'3) Release_Label'!$D:$D&amp;'3) Release_Label'!$E:$E,'3) Release_Label'!$F:$F},2,0),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D165" s="114" t="str">
        <f t="array" ref="D165">ifs(and(isblank($A165),isblank($B165)),"", not(iserror(vlookup($A165&amp;$B165,'3) Release_Label'!$D:$D&amp;'3) Release_Label'!$E:$E,1,0))),vlookup($A165&amp;$B165,{'3) Release_Label'!$D:$D&amp;'3) Release_Label'!$E:$E,'3) Release_Label'!$H:$H},2,0),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E165" s="128" t="str">
        <f t="shared" si="3"/>
        <v/>
      </c>
      <c r="G165" s="93"/>
      <c r="H165" s="133"/>
      <c r="J165" s="20"/>
      <c r="K165" s="94"/>
      <c r="L165" s="20"/>
      <c r="N165" s="20"/>
      <c r="O165" s="20"/>
      <c r="P165" s="20"/>
    </row>
    <row r="166">
      <c r="A166" s="28"/>
      <c r="B166" s="93"/>
      <c r="C166" s="114" t="str">
        <f t="array" ref="C166">ifs(and(isblank($A166),isblank($B166)),"", not(iserror(vlookup($A166&amp;$B166,'3) Release_Label'!$D:$D&amp;'3) Release_Label'!$E:$E,1,0))),vlookup($A166&amp;$B166,{'3) Release_Label'!$D:$D&amp;'3) Release_Label'!$E:$E,'3) Release_Label'!$F:$F},2,0),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D166" s="114" t="str">
        <f t="array" ref="D166">ifs(and(isblank($A166),isblank($B166)),"", not(iserror(vlookup($A166&amp;$B166,'3) Release_Label'!$D:$D&amp;'3) Release_Label'!$E:$E,1,0))),vlookup($A166&amp;$B166,{'3) Release_Label'!$D:$D&amp;'3) Release_Label'!$E:$E,'3) Release_Label'!$H:$H},2,0),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E166" s="128" t="str">
        <f t="shared" si="3"/>
        <v/>
      </c>
      <c r="G166" s="93"/>
      <c r="H166" s="133"/>
      <c r="J166" s="20"/>
      <c r="K166" s="94"/>
      <c r="L166" s="20"/>
      <c r="N166" s="20"/>
      <c r="O166" s="20"/>
      <c r="P166" s="20"/>
    </row>
    <row r="167">
      <c r="A167" s="28"/>
      <c r="B167" s="93"/>
      <c r="C167" s="114" t="str">
        <f t="array" ref="C167">ifs(and(isblank($A167),isblank($B167)),"", not(iserror(vlookup($A167&amp;$B167,'3) Release_Label'!$D:$D&amp;'3) Release_Label'!$E:$E,1,0))),vlookup($A167&amp;$B167,{'3) Release_Label'!$D:$D&amp;'3) Release_Label'!$E:$E,'3) Release_Label'!$F:$F},2,0),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D167" s="114" t="str">
        <f t="array" ref="D167">ifs(and(isblank($A167),isblank($B167)),"", not(iserror(vlookup($A167&amp;$B167,'3) Release_Label'!$D:$D&amp;'3) Release_Label'!$E:$E,1,0))),vlookup($A167&amp;$B167,{'3) Release_Label'!$D:$D&amp;'3) Release_Label'!$E:$E,'3) Release_Label'!$H:$H},2,0),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E167" s="128" t="str">
        <f t="shared" si="3"/>
        <v/>
      </c>
      <c r="G167" s="93"/>
      <c r="H167" s="133"/>
      <c r="J167" s="20"/>
      <c r="K167" s="94"/>
      <c r="L167" s="20"/>
      <c r="N167" s="20"/>
      <c r="O167" s="20"/>
      <c r="P167" s="20"/>
    </row>
    <row r="168">
      <c r="A168" s="28"/>
      <c r="B168" s="93"/>
      <c r="C168" s="114" t="str">
        <f t="array" ref="C168">ifs(and(isblank($A168),isblank($B168)),"", not(iserror(vlookup($A168&amp;$B168,'3) Release_Label'!$D:$D&amp;'3) Release_Label'!$E:$E,1,0))),vlookup($A168&amp;$B168,{'3) Release_Label'!$D:$D&amp;'3) Release_Label'!$E:$E,'3) Release_Label'!$F:$F},2,0),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D168" s="114" t="str">
        <f t="array" ref="D168">ifs(and(isblank($A168),isblank($B168)),"", not(iserror(vlookup($A168&amp;$B168,'3) Release_Label'!$D:$D&amp;'3) Release_Label'!$E:$E,1,0))),vlookup($A168&amp;$B168,{'3) Release_Label'!$D:$D&amp;'3) Release_Label'!$E:$E,'3) Release_Label'!$H:$H},2,0),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E168" s="128" t="str">
        <f t="shared" si="3"/>
        <v/>
      </c>
      <c r="G168" s="93"/>
      <c r="H168" s="133"/>
      <c r="J168" s="20"/>
      <c r="K168" s="94"/>
      <c r="L168" s="20"/>
      <c r="N168" s="20"/>
      <c r="O168" s="20"/>
      <c r="P168" s="20"/>
    </row>
    <row r="169">
      <c r="A169" s="28"/>
      <c r="B169" s="93"/>
      <c r="C169" s="114" t="str">
        <f t="array" ref="C169">ifs(and(isblank($A169),isblank($B169)),"", not(iserror(vlookup($A169&amp;$B169,'3) Release_Label'!$D:$D&amp;'3) Release_Label'!$E:$E,1,0))),vlookup($A169&amp;$B169,{'3) Release_Label'!$D:$D&amp;'3) Release_Label'!$E:$E,'3) Release_Label'!$F:$F},2,0),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D169" s="114" t="str">
        <f t="array" ref="D169">ifs(and(isblank($A169),isblank($B169)),"", not(iserror(vlookup($A169&amp;$B169,'3) Release_Label'!$D:$D&amp;'3) Release_Label'!$E:$E,1,0))),vlookup($A169&amp;$B169,{'3) Release_Label'!$D:$D&amp;'3) Release_Label'!$E:$E,'3) Release_Label'!$H:$H},2,0),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E169" s="128" t="str">
        <f t="shared" si="3"/>
        <v/>
      </c>
      <c r="G169" s="93"/>
      <c r="H169" s="133"/>
      <c r="J169" s="20"/>
      <c r="K169" s="94"/>
      <c r="L169" s="20"/>
      <c r="N169" s="20"/>
      <c r="O169" s="20"/>
      <c r="P169" s="20"/>
    </row>
    <row r="170">
      <c r="A170" s="28"/>
      <c r="B170" s="93"/>
      <c r="C170" s="114" t="str">
        <f t="array" ref="C170">ifs(and(isblank($A170),isblank($B170)),"", not(iserror(vlookup($A170&amp;$B170,'3) Release_Label'!$D:$D&amp;'3) Release_Label'!$E:$E,1,0))),vlookup($A170&amp;$B170,{'3) Release_Label'!$D:$D&amp;'3) Release_Label'!$E:$E,'3) Release_Label'!$F:$F},2,0),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D170" s="114" t="str">
        <f t="array" ref="D170">ifs(and(isblank($A170),isblank($B170)),"", not(iserror(vlookup($A170&amp;$B170,'3) Release_Label'!$D:$D&amp;'3) Release_Label'!$E:$E,1,0))),vlookup($A170&amp;$B170,{'3) Release_Label'!$D:$D&amp;'3) Release_Label'!$E:$E,'3) Release_Label'!$H:$H},2,0),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E170" s="128" t="str">
        <f t="shared" si="3"/>
        <v/>
      </c>
      <c r="G170" s="93"/>
      <c r="H170" s="133"/>
      <c r="J170" s="20"/>
      <c r="K170" s="94"/>
      <c r="L170" s="20"/>
      <c r="N170" s="20"/>
      <c r="O170" s="20"/>
      <c r="P170" s="20"/>
    </row>
    <row r="171">
      <c r="A171" s="28"/>
      <c r="B171" s="93"/>
      <c r="C171" s="114" t="str">
        <f t="array" ref="C171">ifs(and(isblank($A171),isblank($B171)),"", not(iserror(vlookup($A171&amp;$B171,'3) Release_Label'!$D:$D&amp;'3) Release_Label'!$E:$E,1,0))),vlookup($A171&amp;$B171,{'3) Release_Label'!$D:$D&amp;'3) Release_Label'!$E:$E,'3) Release_Label'!$F:$F},2,0),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D171" s="114" t="str">
        <f t="array" ref="D171">ifs(and(isblank($A171),isblank($B171)),"", not(iserror(vlookup($A171&amp;$B171,'3) Release_Label'!$D:$D&amp;'3) Release_Label'!$E:$E,1,0))),vlookup($A171&amp;$B171,{'3) Release_Label'!$D:$D&amp;'3) Release_Label'!$E:$E,'3) Release_Label'!$H:$H},2,0),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E171" s="128" t="str">
        <f t="shared" si="3"/>
        <v/>
      </c>
      <c r="G171" s="93"/>
      <c r="H171" s="133"/>
      <c r="J171" s="20"/>
      <c r="K171" s="94"/>
      <c r="L171" s="20"/>
      <c r="N171" s="20"/>
      <c r="O171" s="20"/>
      <c r="P171" s="20"/>
    </row>
    <row r="172">
      <c r="A172" s="28"/>
      <c r="B172" s="93"/>
      <c r="C172" s="114" t="str">
        <f t="array" ref="C172">ifs(and(isblank($A172),isblank($B172)),"", not(iserror(vlookup($A172&amp;$B172,'3) Release_Label'!$D:$D&amp;'3) Release_Label'!$E:$E,1,0))),vlookup($A172&amp;$B172,{'3) Release_Label'!$D:$D&amp;'3) Release_Label'!$E:$E,'3) Release_Label'!$F:$F},2,0),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D172" s="114" t="str">
        <f t="array" ref="D172">ifs(and(isblank($A172),isblank($B172)),"", not(iserror(vlookup($A172&amp;$B172,'3) Release_Label'!$D:$D&amp;'3) Release_Label'!$E:$E,1,0))),vlookup($A172&amp;$B172,{'3) Release_Label'!$D:$D&amp;'3) Release_Label'!$E:$E,'3) Release_Label'!$H:$H},2,0),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E172" s="128" t="str">
        <f t="shared" si="3"/>
        <v/>
      </c>
      <c r="G172" s="93"/>
      <c r="H172" s="133"/>
      <c r="J172" s="20"/>
      <c r="K172" s="94"/>
      <c r="L172" s="20"/>
      <c r="N172" s="20"/>
      <c r="O172" s="20"/>
      <c r="P172" s="20"/>
    </row>
    <row r="173">
      <c r="A173" s="28"/>
      <c r="B173" s="93"/>
      <c r="C173" s="114" t="str">
        <f t="array" ref="C173">ifs(and(isblank($A173),isblank($B173)),"", not(iserror(vlookup($A173&amp;$B173,'3) Release_Label'!$D:$D&amp;'3) Release_Label'!$E:$E,1,0))),vlookup($A173&amp;$B173,{'3) Release_Label'!$D:$D&amp;'3) Release_Label'!$E:$E,'3) Release_Label'!$F:$F},2,0),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D173" s="114" t="str">
        <f t="array" ref="D173">ifs(and(isblank($A173),isblank($B173)),"", not(iserror(vlookup($A173&amp;$B173,'3) Release_Label'!$D:$D&amp;'3) Release_Label'!$E:$E,1,0))),vlookup($A173&amp;$B173,{'3) Release_Label'!$D:$D&amp;'3) Release_Label'!$E:$E,'3) Release_Label'!$H:$H},2,0),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E173" s="128" t="str">
        <f t="shared" si="3"/>
        <v/>
      </c>
      <c r="G173" s="93"/>
      <c r="H173" s="133"/>
      <c r="J173" s="20"/>
      <c r="K173" s="94"/>
      <c r="L173" s="20"/>
      <c r="N173" s="20"/>
      <c r="O173" s="20"/>
      <c r="P173" s="20"/>
    </row>
    <row r="174">
      <c r="A174" s="28"/>
      <c r="B174" s="93"/>
      <c r="C174" s="114" t="str">
        <f t="array" ref="C174">ifs(and(isblank($A174),isblank($B174)),"", not(iserror(vlookup($A174&amp;$B174,'3) Release_Label'!$D:$D&amp;'3) Release_Label'!$E:$E,1,0))),vlookup($A174&amp;$B174,{'3) Release_Label'!$D:$D&amp;'3) Release_Label'!$E:$E,'3) Release_Label'!$F:$F},2,0),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D174" s="114" t="str">
        <f t="array" ref="D174">ifs(and(isblank($A174),isblank($B174)),"", not(iserror(vlookup($A174&amp;$B174,'3) Release_Label'!$D:$D&amp;'3) Release_Label'!$E:$E,1,0))),vlookup($A174&amp;$B174,{'3) Release_Label'!$D:$D&amp;'3) Release_Label'!$E:$E,'3) Release_Label'!$H:$H},2,0),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E174" s="128" t="str">
        <f t="shared" si="3"/>
        <v/>
      </c>
      <c r="G174" s="93"/>
      <c r="H174" s="133"/>
      <c r="J174" s="20"/>
      <c r="K174" s="94"/>
      <c r="L174" s="20"/>
      <c r="N174" s="20"/>
      <c r="O174" s="20"/>
      <c r="P174" s="20"/>
    </row>
    <row r="175">
      <c r="A175" s="28"/>
      <c r="B175" s="93"/>
      <c r="C175" s="114" t="str">
        <f t="array" ref="C175">ifs(and(isblank($A175),isblank($B175)),"", not(iserror(vlookup($A175&amp;$B175,'3) Release_Label'!$D:$D&amp;'3) Release_Label'!$E:$E,1,0))),vlookup($A175&amp;$B175,{'3) Release_Label'!$D:$D&amp;'3) Release_Label'!$E:$E,'3) Release_Label'!$F:$F},2,0),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D175" s="114" t="str">
        <f t="array" ref="D175">ifs(and(isblank($A175),isblank($B175)),"", not(iserror(vlookup($A175&amp;$B175,'3) Release_Label'!$D:$D&amp;'3) Release_Label'!$E:$E,1,0))),vlookup($A175&amp;$B175,{'3) Release_Label'!$D:$D&amp;'3) Release_Label'!$E:$E,'3) Release_Label'!$H:$H},2,0),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E175" s="128" t="str">
        <f t="shared" si="3"/>
        <v/>
      </c>
      <c r="G175" s="93"/>
      <c r="H175" s="133"/>
      <c r="J175" s="20"/>
      <c r="K175" s="94"/>
      <c r="L175" s="20"/>
      <c r="N175" s="20"/>
      <c r="O175" s="20"/>
      <c r="P175" s="20"/>
    </row>
    <row r="176">
      <c r="A176" s="28"/>
      <c r="B176" s="93"/>
      <c r="C176" s="114" t="str">
        <f t="array" ref="C176">ifs(and(isblank($A176),isblank($B176)),"", not(iserror(vlookup($A176&amp;$B176,'3) Release_Label'!$D:$D&amp;'3) Release_Label'!$E:$E,1,0))),vlookup($A176&amp;$B176,{'3) Release_Label'!$D:$D&amp;'3) Release_Label'!$E:$E,'3) Release_Label'!$F:$F},2,0),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D176" s="114" t="str">
        <f t="array" ref="D176">ifs(and(isblank($A176),isblank($B176)),"", not(iserror(vlookup($A176&amp;$B176,'3) Release_Label'!$D:$D&amp;'3) Release_Label'!$E:$E,1,0))),vlookup($A176&amp;$B176,{'3) Release_Label'!$D:$D&amp;'3) Release_Label'!$E:$E,'3) Release_Label'!$H:$H},2,0),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E176" s="128" t="str">
        <f t="shared" si="3"/>
        <v/>
      </c>
      <c r="G176" s="93"/>
      <c r="H176" s="133"/>
      <c r="J176" s="20"/>
      <c r="K176" s="94"/>
      <c r="L176" s="20"/>
      <c r="N176" s="20"/>
      <c r="O176" s="20"/>
      <c r="P176" s="20"/>
    </row>
    <row r="177">
      <c r="A177" s="28"/>
      <c r="B177" s="93"/>
      <c r="C177" s="114" t="str">
        <f t="array" ref="C177">ifs(and(isblank($A177),isblank($B177)),"", not(iserror(vlookup($A177&amp;$B177,'3) Release_Label'!$D:$D&amp;'3) Release_Label'!$E:$E,1,0))),vlookup($A177&amp;$B177,{'3) Release_Label'!$D:$D&amp;'3) Release_Label'!$E:$E,'3) Release_Label'!$F:$F},2,0),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D177" s="114" t="str">
        <f t="array" ref="D177">ifs(and(isblank($A177),isblank($B177)),"", not(iserror(vlookup($A177&amp;$B177,'3) Release_Label'!$D:$D&amp;'3) Release_Label'!$E:$E,1,0))),vlookup($A177&amp;$B177,{'3) Release_Label'!$D:$D&amp;'3) Release_Label'!$E:$E,'3) Release_Label'!$H:$H},2,0),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E177" s="128" t="str">
        <f t="shared" si="3"/>
        <v/>
      </c>
      <c r="G177" s="93"/>
      <c r="H177" s="133"/>
      <c r="J177" s="20"/>
      <c r="K177" s="94"/>
      <c r="L177" s="20"/>
      <c r="N177" s="20"/>
      <c r="O177" s="20"/>
      <c r="P177" s="20"/>
    </row>
    <row r="178">
      <c r="A178" s="28"/>
      <c r="B178" s="93"/>
      <c r="C178" s="114" t="str">
        <f t="array" ref="C178">ifs(and(isblank($A178),isblank($B178)),"", not(iserror(vlookup($A178&amp;$B178,'3) Release_Label'!$D:$D&amp;'3) Release_Label'!$E:$E,1,0))),vlookup($A178&amp;$B178,{'3) Release_Label'!$D:$D&amp;'3) Release_Label'!$E:$E,'3) Release_Label'!$F:$F},2,0),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D178" s="114" t="str">
        <f t="array" ref="D178">ifs(and(isblank($A178),isblank($B178)),"", not(iserror(vlookup($A178&amp;$B178,'3) Release_Label'!$D:$D&amp;'3) Release_Label'!$E:$E,1,0))),vlookup($A178&amp;$B178,{'3) Release_Label'!$D:$D&amp;'3) Release_Label'!$E:$E,'3) Release_Label'!$H:$H},2,0),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E178" s="128" t="str">
        <f t="shared" si="3"/>
        <v/>
      </c>
      <c r="G178" s="93"/>
      <c r="H178" s="133"/>
      <c r="J178" s="20"/>
      <c r="K178" s="94"/>
      <c r="L178" s="20"/>
      <c r="N178" s="20"/>
      <c r="O178" s="20"/>
      <c r="P178" s="20"/>
    </row>
    <row r="179">
      <c r="A179" s="28"/>
      <c r="B179" s="93"/>
      <c r="C179" s="114" t="str">
        <f t="array" ref="C179">ifs(and(isblank($A179),isblank($B179)),"", not(iserror(vlookup($A179&amp;$B179,'3) Release_Label'!$D:$D&amp;'3) Release_Label'!$E:$E,1,0))),vlookup($A179&amp;$B179,{'3) Release_Label'!$D:$D&amp;'3) Release_Label'!$E:$E,'3) Release_Label'!$F:$F},2,0),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D179" s="114" t="str">
        <f t="array" ref="D179">ifs(and(isblank($A179),isblank($B179)),"", not(iserror(vlookup($A179&amp;$B179,'3) Release_Label'!$D:$D&amp;'3) Release_Label'!$E:$E,1,0))),vlookup($A179&amp;$B179,{'3) Release_Label'!$D:$D&amp;'3) Release_Label'!$E:$E,'3) Release_Label'!$H:$H},2,0),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E179" s="128" t="str">
        <f t="shared" si="3"/>
        <v/>
      </c>
      <c r="G179" s="93"/>
      <c r="H179" s="133"/>
      <c r="J179" s="20"/>
      <c r="K179" s="94"/>
      <c r="L179" s="20"/>
      <c r="N179" s="20"/>
      <c r="O179" s="20"/>
      <c r="P179" s="20"/>
    </row>
    <row r="180">
      <c r="A180" s="28"/>
      <c r="B180" s="93"/>
      <c r="C180" s="114" t="str">
        <f t="array" ref="C180">ifs(and(isblank($A180),isblank($B180)),"", not(iserror(vlookup($A180&amp;$B180,'3) Release_Label'!$D:$D&amp;'3) Release_Label'!$E:$E,1,0))),vlookup($A180&amp;$B180,{'3) Release_Label'!$D:$D&amp;'3) Release_Label'!$E:$E,'3) Release_Label'!$F:$F},2,0),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D180" s="114" t="str">
        <f t="array" ref="D180">ifs(and(isblank($A180),isblank($B180)),"", not(iserror(vlookup($A180&amp;$B180,'3) Release_Label'!$D:$D&amp;'3) Release_Label'!$E:$E,1,0))),vlookup($A180&amp;$B180,{'3) Release_Label'!$D:$D&amp;'3) Release_Label'!$E:$E,'3) Release_Label'!$H:$H},2,0),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E180" s="128" t="str">
        <f t="shared" si="3"/>
        <v/>
      </c>
      <c r="G180" s="93"/>
      <c r="H180" s="133"/>
      <c r="J180" s="20"/>
      <c r="K180" s="94"/>
      <c r="L180" s="20"/>
      <c r="N180" s="20"/>
      <c r="O180" s="20"/>
      <c r="P180" s="20"/>
    </row>
    <row r="181">
      <c r="A181" s="28"/>
      <c r="B181" s="93"/>
      <c r="C181" s="114" t="str">
        <f t="array" ref="C181">ifs(and(isblank($A181),isblank($B181)),"", not(iserror(vlookup($A181&amp;$B181,'3) Release_Label'!$D:$D&amp;'3) Release_Label'!$E:$E,1,0))),vlookup($A181&amp;$B181,{'3) Release_Label'!$D:$D&amp;'3) Release_Label'!$E:$E,'3) Release_Label'!$F:$F},2,0),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D181" s="114" t="str">
        <f t="array" ref="D181">ifs(and(isblank($A181),isblank($B181)),"", not(iserror(vlookup($A181&amp;$B181,'3) Release_Label'!$D:$D&amp;'3) Release_Label'!$E:$E,1,0))),vlookup($A181&amp;$B181,{'3) Release_Label'!$D:$D&amp;'3) Release_Label'!$E:$E,'3) Release_Label'!$H:$H},2,0),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E181" s="128" t="str">
        <f t="shared" si="3"/>
        <v/>
      </c>
      <c r="G181" s="93"/>
      <c r="H181" s="133"/>
      <c r="J181" s="20"/>
      <c r="K181" s="94"/>
      <c r="L181" s="20"/>
      <c r="N181" s="20"/>
      <c r="O181" s="20"/>
      <c r="P181" s="20"/>
    </row>
    <row r="182">
      <c r="A182" s="28"/>
      <c r="B182" s="93"/>
      <c r="C182" s="114" t="str">
        <f t="array" ref="C182">ifs(and(isblank($A182),isblank($B182)),"", not(iserror(vlookup($A182&amp;$B182,'3) Release_Label'!$D:$D&amp;'3) Release_Label'!$E:$E,1,0))),vlookup($A182&amp;$B182,{'3) Release_Label'!$D:$D&amp;'3) Release_Label'!$E:$E,'3) Release_Label'!$F:$F},2,0),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D182" s="114" t="str">
        <f t="array" ref="D182">ifs(and(isblank($A182),isblank($B182)),"", not(iserror(vlookup($A182&amp;$B182,'3) Release_Label'!$D:$D&amp;'3) Release_Label'!$E:$E,1,0))),vlookup($A182&amp;$B182,{'3) Release_Label'!$D:$D&amp;'3) Release_Label'!$E:$E,'3) Release_Label'!$H:$H},2,0),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E182" s="128" t="str">
        <f t="shared" si="3"/>
        <v/>
      </c>
      <c r="G182" s="93"/>
      <c r="H182" s="133"/>
      <c r="J182" s="20"/>
      <c r="K182" s="94"/>
      <c r="L182" s="20"/>
      <c r="N182" s="20"/>
      <c r="O182" s="20"/>
      <c r="P182" s="20"/>
    </row>
    <row r="183">
      <c r="A183" s="28"/>
      <c r="B183" s="93"/>
      <c r="C183" s="114" t="str">
        <f t="array" ref="C183">ifs(and(isblank($A183),isblank($B183)),"", not(iserror(vlookup($A183&amp;$B183,'3) Release_Label'!$D:$D&amp;'3) Release_Label'!$E:$E,1,0))),vlookup($A183&amp;$B183,{'3) Release_Label'!$D:$D&amp;'3) Release_Label'!$E:$E,'3) Release_Label'!$F:$F},2,0),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D183" s="114" t="str">
        <f t="array" ref="D183">ifs(and(isblank($A183),isblank($B183)),"", not(iserror(vlookup($A183&amp;$B183,'3) Release_Label'!$D:$D&amp;'3) Release_Label'!$E:$E,1,0))),vlookup($A183&amp;$B183,{'3) Release_Label'!$D:$D&amp;'3) Release_Label'!$E:$E,'3) Release_Label'!$H:$H},2,0),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E183" s="128" t="str">
        <f t="shared" si="3"/>
        <v/>
      </c>
      <c r="G183" s="93"/>
      <c r="H183" s="133"/>
      <c r="J183" s="20"/>
      <c r="K183" s="94"/>
      <c r="L183" s="20"/>
      <c r="N183" s="20"/>
      <c r="O183" s="20"/>
      <c r="P183" s="20"/>
    </row>
    <row r="184">
      <c r="A184" s="28"/>
      <c r="B184" s="93"/>
      <c r="C184" s="114" t="str">
        <f t="array" ref="C184">ifs(and(isblank($A184),isblank($B184)),"", not(iserror(vlookup($A184&amp;$B184,'3) Release_Label'!$D:$D&amp;'3) Release_Label'!$E:$E,1,0))),vlookup($A184&amp;$B184,{'3) Release_Label'!$D:$D&amp;'3) Release_Label'!$E:$E,'3) Release_Label'!$F:$F},2,0),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D184" s="114" t="str">
        <f t="array" ref="D184">ifs(and(isblank($A184),isblank($B184)),"", not(iserror(vlookup($A184&amp;$B184,'3) Release_Label'!$D:$D&amp;'3) Release_Label'!$E:$E,1,0))),vlookup($A184&amp;$B184,{'3) Release_Label'!$D:$D&amp;'3) Release_Label'!$E:$E,'3) Release_Label'!$H:$H},2,0),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E184" s="128" t="str">
        <f t="shared" si="3"/>
        <v/>
      </c>
      <c r="G184" s="93"/>
      <c r="H184" s="133"/>
      <c r="J184" s="20"/>
      <c r="K184" s="94"/>
      <c r="L184" s="20"/>
      <c r="N184" s="20"/>
      <c r="O184" s="20"/>
      <c r="P184" s="20"/>
    </row>
    <row r="185">
      <c r="A185" s="28"/>
      <c r="B185" s="93"/>
      <c r="C185" s="114" t="str">
        <f t="array" ref="C185">ifs(and(isblank($A185),isblank($B185)),"", not(iserror(vlookup($A185&amp;$B185,'3) Release_Label'!$D:$D&amp;'3) Release_Label'!$E:$E,1,0))),vlookup($A185&amp;$B185,{'3) Release_Label'!$D:$D&amp;'3) Release_Label'!$E:$E,'3) Release_Label'!$F:$F},2,0),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D185" s="114" t="str">
        <f t="array" ref="D185">ifs(and(isblank($A185),isblank($B185)),"", not(iserror(vlookup($A185&amp;$B185,'3) Release_Label'!$D:$D&amp;'3) Release_Label'!$E:$E,1,0))),vlookup($A185&amp;$B185,{'3) Release_Label'!$D:$D&amp;'3) Release_Label'!$E:$E,'3) Release_Label'!$H:$H},2,0),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E185" s="128" t="str">
        <f t="shared" si="3"/>
        <v/>
      </c>
      <c r="G185" s="93"/>
      <c r="H185" s="133"/>
      <c r="J185" s="20"/>
      <c r="K185" s="94"/>
      <c r="L185" s="20"/>
      <c r="N185" s="20"/>
      <c r="O185" s="20"/>
      <c r="P185" s="20"/>
    </row>
    <row r="186">
      <c r="A186" s="28"/>
      <c r="B186" s="93"/>
      <c r="C186" s="114" t="str">
        <f t="array" ref="C186">ifs(and(isblank($A186),isblank($B186)),"", not(iserror(vlookup($A186&amp;$B186,'3) Release_Label'!$D:$D&amp;'3) Release_Label'!$E:$E,1,0))),vlookup($A186&amp;$B186,{'3) Release_Label'!$D:$D&amp;'3) Release_Label'!$E:$E,'3) Release_Label'!$F:$F},2,0),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D186" s="114" t="str">
        <f t="array" ref="D186">ifs(and(isblank($A186),isblank($B186)),"", not(iserror(vlookup($A186&amp;$B186,'3) Release_Label'!$D:$D&amp;'3) Release_Label'!$E:$E,1,0))),vlookup($A186&amp;$B186,{'3) Release_Label'!$D:$D&amp;'3) Release_Label'!$E:$E,'3) Release_Label'!$H:$H},2,0),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E186" s="128" t="str">
        <f t="shared" si="3"/>
        <v/>
      </c>
      <c r="G186" s="93"/>
      <c r="H186" s="133"/>
      <c r="J186" s="20"/>
      <c r="K186" s="94"/>
      <c r="L186" s="20"/>
      <c r="N186" s="20"/>
      <c r="O186" s="20"/>
      <c r="P186" s="20"/>
    </row>
    <row r="187">
      <c r="A187" s="28"/>
      <c r="B187" s="93"/>
      <c r="C187" s="114" t="str">
        <f t="array" ref="C187">ifs(and(isblank($A187),isblank($B187)),"", not(iserror(vlookup($A187&amp;$B187,'3) Release_Label'!$D:$D&amp;'3) Release_Label'!$E:$E,1,0))),vlookup($A187&amp;$B187,{'3) Release_Label'!$D:$D&amp;'3) Release_Label'!$E:$E,'3) Release_Label'!$F:$F},2,0),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D187" s="114" t="str">
        <f t="array" ref="D187">ifs(and(isblank($A187),isblank($B187)),"", not(iserror(vlookup($A187&amp;$B187,'3) Release_Label'!$D:$D&amp;'3) Release_Label'!$E:$E,1,0))),vlookup($A187&amp;$B187,{'3) Release_Label'!$D:$D&amp;'3) Release_Label'!$E:$E,'3) Release_Label'!$H:$H},2,0),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E187" s="128" t="str">
        <f t="shared" si="3"/>
        <v/>
      </c>
      <c r="G187" s="93"/>
      <c r="H187" s="133"/>
      <c r="J187" s="20"/>
      <c r="K187" s="94"/>
      <c r="L187" s="20"/>
      <c r="N187" s="20"/>
      <c r="O187" s="20"/>
      <c r="P187" s="20"/>
    </row>
    <row r="188">
      <c r="A188" s="28"/>
      <c r="B188" s="93"/>
      <c r="C188" s="114" t="str">
        <f t="array" ref="C188">ifs(and(isblank($A188),isblank($B188)),"", not(iserror(vlookup($A188&amp;$B188,'3) Release_Label'!$D:$D&amp;'3) Release_Label'!$E:$E,1,0))),vlookup($A188&amp;$B188,{'3) Release_Label'!$D:$D&amp;'3) Release_Label'!$E:$E,'3) Release_Label'!$F:$F},2,0),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D188" s="114" t="str">
        <f t="array" ref="D188">ifs(and(isblank($A188),isblank($B188)),"", not(iserror(vlookup($A188&amp;$B188,'3) Release_Label'!$D:$D&amp;'3) Release_Label'!$E:$E,1,0))),vlookup($A188&amp;$B188,{'3) Release_Label'!$D:$D&amp;'3) Release_Label'!$E:$E,'3) Release_Label'!$H:$H},2,0),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E188" s="128" t="str">
        <f t="shared" si="3"/>
        <v/>
      </c>
      <c r="G188" s="93"/>
      <c r="H188" s="133"/>
      <c r="J188" s="20"/>
      <c r="K188" s="94"/>
      <c r="L188" s="20"/>
      <c r="N188" s="20"/>
      <c r="O188" s="20"/>
      <c r="P188" s="20"/>
    </row>
    <row r="189">
      <c r="A189" s="28"/>
      <c r="B189" s="93"/>
      <c r="C189" s="114" t="str">
        <f t="array" ref="C189">ifs(and(isblank($A189),isblank($B189)),"", not(iserror(vlookup($A189&amp;$B189,'3) Release_Label'!$D:$D&amp;'3) Release_Label'!$E:$E,1,0))),vlookup($A189&amp;$B189,{'3) Release_Label'!$D:$D&amp;'3) Release_Label'!$E:$E,'3) Release_Label'!$F:$F},2,0),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D189" s="114" t="str">
        <f t="array" ref="D189">ifs(and(isblank($A189),isblank($B189)),"", not(iserror(vlookup($A189&amp;$B189,'3) Release_Label'!$D:$D&amp;'3) Release_Label'!$E:$E,1,0))),vlookup($A189&amp;$B189,{'3) Release_Label'!$D:$D&amp;'3) Release_Label'!$E:$E,'3) Release_Label'!$H:$H},2,0),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E189" s="128" t="str">
        <f t="shared" si="3"/>
        <v/>
      </c>
      <c r="G189" s="93"/>
      <c r="H189" s="133"/>
      <c r="J189" s="20"/>
      <c r="K189" s="94"/>
      <c r="L189" s="20"/>
      <c r="N189" s="20"/>
      <c r="O189" s="20"/>
      <c r="P189" s="20"/>
    </row>
    <row r="190">
      <c r="A190" s="28"/>
      <c r="B190" s="93"/>
      <c r="C190" s="114" t="str">
        <f t="array" ref="C190">ifs(and(isblank($A190),isblank($B190)),"", not(iserror(vlookup($A190&amp;$B190,'3) Release_Label'!$D:$D&amp;'3) Release_Label'!$E:$E,1,0))),vlookup($A190&amp;$B190,{'3) Release_Label'!$D:$D&amp;'3) Release_Label'!$E:$E,'3) Release_Label'!$F:$F},2,0),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D190" s="114" t="str">
        <f t="array" ref="D190">ifs(and(isblank($A190),isblank($B190)),"", not(iserror(vlookup($A190&amp;$B190,'3) Release_Label'!$D:$D&amp;'3) Release_Label'!$E:$E,1,0))),vlookup($A190&amp;$B190,{'3) Release_Label'!$D:$D&amp;'3) Release_Label'!$E:$E,'3) Release_Label'!$H:$H},2,0),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E190" s="128" t="str">
        <f t="shared" si="3"/>
        <v/>
      </c>
      <c r="G190" s="93"/>
      <c r="H190" s="133"/>
      <c r="J190" s="20"/>
      <c r="K190" s="94"/>
      <c r="L190" s="20"/>
      <c r="N190" s="20"/>
      <c r="O190" s="20"/>
      <c r="P190" s="20"/>
    </row>
    <row r="191">
      <c r="A191" s="28"/>
      <c r="B191" s="93"/>
      <c r="C191" s="114" t="str">
        <f t="array" ref="C191">ifs(and(isblank($A191),isblank($B191)),"", not(iserror(vlookup($A191&amp;$B191,'3) Release_Label'!$D:$D&amp;'3) Release_Label'!$E:$E,1,0))),vlookup($A191&amp;$B191,{'3) Release_Label'!$D:$D&amp;'3) Release_Label'!$E:$E,'3) Release_Label'!$F:$F},2,0),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D191" s="114" t="str">
        <f t="array" ref="D191">ifs(and(isblank($A191),isblank($B191)),"", not(iserror(vlookup($A191&amp;$B191,'3) Release_Label'!$D:$D&amp;'3) Release_Label'!$E:$E,1,0))),vlookup($A191&amp;$B191,{'3) Release_Label'!$D:$D&amp;'3) Release_Label'!$E:$E,'3) Release_Label'!$H:$H},2,0),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E191" s="128" t="str">
        <f t="shared" si="3"/>
        <v/>
      </c>
      <c r="G191" s="93"/>
      <c r="H191" s="133"/>
      <c r="J191" s="20"/>
      <c r="K191" s="94"/>
      <c r="L191" s="20"/>
      <c r="N191" s="20"/>
      <c r="O191" s="20"/>
      <c r="P191" s="20"/>
    </row>
    <row r="192">
      <c r="A192" s="28"/>
      <c r="B192" s="93"/>
      <c r="C192" s="114" t="str">
        <f t="array" ref="C192">ifs(and(isblank($A192),isblank($B192)),"", not(iserror(vlookup($A192&amp;$B192,'3) Release_Label'!$D:$D&amp;'3) Release_Label'!$E:$E,1,0))),vlookup($A192&amp;$B192,{'3) Release_Label'!$D:$D&amp;'3) Release_Label'!$E:$E,'3) Release_Label'!$F:$F},2,0),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D192" s="114" t="str">
        <f t="array" ref="D192">ifs(and(isblank($A192),isblank($B192)),"", not(iserror(vlookup($A192&amp;$B192,'3) Release_Label'!$D:$D&amp;'3) Release_Label'!$E:$E,1,0))),vlookup($A192&amp;$B192,{'3) Release_Label'!$D:$D&amp;'3) Release_Label'!$E:$E,'3) Release_Label'!$H:$H},2,0),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E192" s="128" t="str">
        <f t="shared" si="3"/>
        <v/>
      </c>
      <c r="G192" s="93"/>
      <c r="H192" s="133"/>
      <c r="J192" s="20"/>
      <c r="K192" s="94"/>
      <c r="L192" s="20"/>
      <c r="N192" s="20"/>
      <c r="O192" s="20"/>
      <c r="P192" s="20"/>
    </row>
    <row r="193">
      <c r="A193" s="28"/>
      <c r="B193" s="93"/>
      <c r="C193" s="114" t="str">
        <f t="array" ref="C193">ifs(and(isblank($A193),isblank($B193)),"", not(iserror(vlookup($A193&amp;$B193,'3) Release_Label'!$D:$D&amp;'3) Release_Label'!$E:$E,1,0))),vlookup($A193&amp;$B193,{'3) Release_Label'!$D:$D&amp;'3) Release_Label'!$E:$E,'3) Release_Label'!$F:$F},2,0),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D193" s="114" t="str">
        <f t="array" ref="D193">ifs(and(isblank($A193),isblank($B193)),"", not(iserror(vlookup($A193&amp;$B193,'3) Release_Label'!$D:$D&amp;'3) Release_Label'!$E:$E,1,0))),vlookup($A193&amp;$B193,{'3) Release_Label'!$D:$D&amp;'3) Release_Label'!$E:$E,'3) Release_Label'!$H:$H},2,0),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E193" s="128" t="str">
        <f t="shared" si="3"/>
        <v/>
      </c>
      <c r="G193" s="93"/>
      <c r="H193" s="133"/>
      <c r="J193" s="20"/>
      <c r="K193" s="94"/>
      <c r="L193" s="20"/>
      <c r="N193" s="20"/>
      <c r="O193" s="20"/>
      <c r="P193" s="20"/>
    </row>
    <row r="194">
      <c r="A194" s="28"/>
      <c r="B194" s="93"/>
      <c r="C194" s="114" t="str">
        <f t="array" ref="C194">ifs(and(isblank($A194),isblank($B194)),"", not(iserror(vlookup($A194&amp;$B194,'3) Release_Label'!$D:$D&amp;'3) Release_Label'!$E:$E,1,0))),vlookup($A194&amp;$B194,{'3) Release_Label'!$D:$D&amp;'3) Release_Label'!$E:$E,'3) Release_Label'!$F:$F},2,0),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D194" s="114" t="str">
        <f t="array" ref="D194">ifs(and(isblank($A194),isblank($B194)),"", not(iserror(vlookup($A194&amp;$B194,'3) Release_Label'!$D:$D&amp;'3) Release_Label'!$E:$E,1,0))),vlookup($A194&amp;$B194,{'3) Release_Label'!$D:$D&amp;'3) Release_Label'!$E:$E,'3) Release_Label'!$H:$H},2,0),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E194" s="128" t="str">
        <f t="shared" si="3"/>
        <v/>
      </c>
      <c r="G194" s="93"/>
      <c r="H194" s="133"/>
      <c r="J194" s="20"/>
      <c r="K194" s="94"/>
      <c r="L194" s="20"/>
      <c r="N194" s="20"/>
      <c r="O194" s="20"/>
      <c r="P194" s="20"/>
    </row>
    <row r="195">
      <c r="A195" s="28"/>
      <c r="B195" s="93"/>
      <c r="C195" s="114" t="str">
        <f t="array" ref="C195">ifs(and(isblank($A195),isblank($B195)),"", not(iserror(vlookup($A195&amp;$B195,'3) Release_Label'!$D:$D&amp;'3) Release_Label'!$E:$E,1,0))),vlookup($A195&amp;$B195,{'3) Release_Label'!$D:$D&amp;'3) Release_Label'!$E:$E,'3) Release_Label'!$F:$F},2,0),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D195" s="114" t="str">
        <f t="array" ref="D195">ifs(and(isblank($A195),isblank($B195)),"", not(iserror(vlookup($A195&amp;$B195,'3) Release_Label'!$D:$D&amp;'3) Release_Label'!$E:$E,1,0))),vlookup($A195&amp;$B195,{'3) Release_Label'!$D:$D&amp;'3) Release_Label'!$E:$E,'3) Release_Label'!$H:$H},2,0),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E195" s="128" t="str">
        <f t="shared" si="3"/>
        <v/>
      </c>
      <c r="G195" s="93"/>
      <c r="H195" s="133"/>
      <c r="J195" s="20"/>
      <c r="K195" s="94"/>
      <c r="L195" s="20"/>
      <c r="N195" s="20"/>
      <c r="O195" s="20"/>
      <c r="P195" s="20"/>
    </row>
    <row r="196">
      <c r="A196" s="28"/>
      <c r="B196" s="93"/>
      <c r="C196" s="114" t="str">
        <f t="array" ref="C196">ifs(and(isblank($A196),isblank($B196)),"", not(iserror(vlookup($A196&amp;$B196,'3) Release_Label'!$D:$D&amp;'3) Release_Label'!$E:$E,1,0))),vlookup($A196&amp;$B196,{'3) Release_Label'!$D:$D&amp;'3) Release_Label'!$E:$E,'3) Release_Label'!$F:$F},2,0),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D196" s="114" t="str">
        <f t="array" ref="D196">ifs(and(isblank($A196),isblank($B196)),"", not(iserror(vlookup($A196&amp;$B196,'3) Release_Label'!$D:$D&amp;'3) Release_Label'!$E:$E,1,0))),vlookup($A196&amp;$B196,{'3) Release_Label'!$D:$D&amp;'3) Release_Label'!$E:$E,'3) Release_Label'!$H:$H},2,0),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E196" s="128" t="str">
        <f t="shared" si="3"/>
        <v/>
      </c>
      <c r="G196" s="93"/>
      <c r="H196" s="133"/>
      <c r="J196" s="20"/>
      <c r="K196" s="94"/>
      <c r="L196" s="20"/>
      <c r="N196" s="20"/>
      <c r="O196" s="20"/>
      <c r="P196" s="20"/>
    </row>
    <row r="197">
      <c r="A197" s="28"/>
      <c r="B197" s="93"/>
      <c r="C197" s="114" t="str">
        <f t="array" ref="C197">ifs(and(isblank($A197),isblank($B197)),"", not(iserror(vlookup($A197&amp;$B197,'3) Release_Label'!$D:$D&amp;'3) Release_Label'!$E:$E,1,0))),vlookup($A197&amp;$B197,{'3) Release_Label'!$D:$D&amp;'3) Release_Label'!$E:$E,'3) Release_Label'!$F:$F},2,0),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D197" s="114" t="str">
        <f t="array" ref="D197">ifs(and(isblank($A197),isblank($B197)),"", not(iserror(vlookup($A197&amp;$B197,'3) Release_Label'!$D:$D&amp;'3) Release_Label'!$E:$E,1,0))),vlookup($A197&amp;$B197,{'3) Release_Label'!$D:$D&amp;'3) Release_Label'!$E:$E,'3) Release_Label'!$H:$H},2,0),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E197" s="128" t="str">
        <f t="shared" si="3"/>
        <v/>
      </c>
      <c r="G197" s="93"/>
      <c r="H197" s="133"/>
      <c r="J197" s="20"/>
      <c r="K197" s="94"/>
      <c r="L197" s="20"/>
      <c r="N197" s="20"/>
      <c r="O197" s="20"/>
      <c r="P197" s="20"/>
    </row>
    <row r="198">
      <c r="A198" s="28"/>
      <c r="B198" s="93"/>
      <c r="C198" s="114" t="str">
        <f t="array" ref="C198">ifs(and(isblank($A198),isblank($B198)),"", not(iserror(vlookup($A198&amp;$B198,'3) Release_Label'!$D:$D&amp;'3) Release_Label'!$E:$E,1,0))),vlookup($A198&amp;$B198,{'3) Release_Label'!$D:$D&amp;'3) Release_Label'!$E:$E,'3) Release_Label'!$F:$F},2,0),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D198" s="114" t="str">
        <f t="array" ref="D198">ifs(and(isblank($A198),isblank($B198)),"", not(iserror(vlookup($A198&amp;$B198,'3) Release_Label'!$D:$D&amp;'3) Release_Label'!$E:$E,1,0))),vlookup($A198&amp;$B198,{'3) Release_Label'!$D:$D&amp;'3) Release_Label'!$E:$E,'3) Release_Label'!$H:$H},2,0),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E198" s="128" t="str">
        <f t="shared" si="3"/>
        <v/>
      </c>
      <c r="G198" s="93"/>
      <c r="H198" s="133"/>
      <c r="J198" s="20"/>
      <c r="K198" s="94"/>
      <c r="L198" s="20"/>
      <c r="N198" s="20"/>
      <c r="O198" s="20"/>
      <c r="P198" s="20"/>
    </row>
    <row r="199">
      <c r="A199" s="28"/>
      <c r="B199" s="93"/>
      <c r="C199" s="114" t="str">
        <f t="array" ref="C199">ifs(and(isblank($A199),isblank($B199)),"", not(iserror(vlookup($A199&amp;$B199,'3) Release_Label'!$D:$D&amp;'3) Release_Label'!$E:$E,1,0))),vlookup($A199&amp;$B199,{'3) Release_Label'!$D:$D&amp;'3) Release_Label'!$E:$E,'3) Release_Label'!$F:$F},2,0),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D199" s="114" t="str">
        <f t="array" ref="D199">ifs(and(isblank($A199),isblank($B199)),"", not(iserror(vlookup($A199&amp;$B199,'3) Release_Label'!$D:$D&amp;'3) Release_Label'!$E:$E,1,0))),vlookup($A199&amp;$B199,{'3) Release_Label'!$D:$D&amp;'3) Release_Label'!$E:$E,'3) Release_Label'!$H:$H},2,0),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E199" s="128" t="str">
        <f t="shared" si="3"/>
        <v/>
      </c>
      <c r="G199" s="93"/>
      <c r="H199" s="133"/>
      <c r="J199" s="20"/>
      <c r="K199" s="94"/>
      <c r="L199" s="20"/>
      <c r="N199" s="20"/>
      <c r="O199" s="20"/>
      <c r="P199" s="20"/>
    </row>
    <row r="200">
      <c r="A200" s="28"/>
      <c r="B200" s="93"/>
      <c r="C200" s="114" t="str">
        <f t="array" ref="C200">ifs(and(isblank($A200),isblank($B200)),"", not(iserror(vlookup($A200&amp;$B200,'3) Release_Label'!$D:$D&amp;'3) Release_Label'!$E:$E,1,0))),vlookup($A200&amp;$B200,{'3) Release_Label'!$D:$D&amp;'3) Release_Label'!$E:$E,'3) Release_Label'!$F:$F},2,0),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D200" s="114" t="str">
        <f t="array" ref="D200">ifs(and(isblank($A200),isblank($B200)),"", not(iserror(vlookup($A200&amp;$B200,'3) Release_Label'!$D:$D&amp;'3) Release_Label'!$E:$E,1,0))),vlookup($A200&amp;$B200,{'3) Release_Label'!$D:$D&amp;'3) Release_Label'!$E:$E,'3) Release_Label'!$H:$H},2,0),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E200" s="128" t="str">
        <f t="shared" si="3"/>
        <v/>
      </c>
      <c r="G200" s="93"/>
      <c r="H200" s="133"/>
      <c r="J200" s="20"/>
      <c r="K200" s="94"/>
      <c r="L200" s="20"/>
      <c r="N200" s="20"/>
      <c r="O200" s="20"/>
      <c r="P200" s="20"/>
    </row>
    <row r="201">
      <c r="A201" s="28"/>
      <c r="B201" s="93"/>
      <c r="C201" s="114" t="str">
        <f t="array" ref="C201">ifs(and(isblank($A201),isblank($B201)),"", not(iserror(vlookup($A201&amp;$B201,'3) Release_Label'!$D:$D&amp;'3) Release_Label'!$E:$E,1,0))),vlookup($A201&amp;$B201,{'3) Release_Label'!$D:$D&amp;'3) Release_Label'!$E:$E,'3) Release_Label'!$F:$F},2,0),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D201" s="114" t="str">
        <f t="array" ref="D201">ifs(and(isblank($A201),isblank($B201)),"", not(iserror(vlookup($A201&amp;$B201,'3) Release_Label'!$D:$D&amp;'3) Release_Label'!$E:$E,1,0))),vlookup($A201&amp;$B201,{'3) Release_Label'!$D:$D&amp;'3) Release_Label'!$E:$E,'3) Release_Label'!$H:$H},2,0),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E201" s="128" t="str">
        <f t="shared" si="3"/>
        <v/>
      </c>
      <c r="G201" s="93"/>
      <c r="H201" s="133"/>
      <c r="J201" s="20"/>
      <c r="K201" s="94"/>
      <c r="L201" s="20"/>
      <c r="N201" s="20"/>
      <c r="O201" s="20"/>
      <c r="P201" s="20"/>
    </row>
    <row r="202">
      <c r="A202" s="28"/>
      <c r="B202" s="93"/>
      <c r="C202" s="114" t="str">
        <f t="array" ref="C202">ifs(and(isblank($A202),isblank($B202)),"", not(iserror(vlookup($A202&amp;$B202,'3) Release_Label'!$D:$D&amp;'3) Release_Label'!$E:$E,1,0))),vlookup($A202&amp;$B202,{'3) Release_Label'!$D:$D&amp;'3) Release_Label'!$E:$E,'3) Release_Label'!$F:$F},2,0),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D202" s="114" t="str">
        <f t="array" ref="D202">ifs(and(isblank($A202),isblank($B202)),"", not(iserror(vlookup($A202&amp;$B202,'3) Release_Label'!$D:$D&amp;'3) Release_Label'!$E:$E,1,0))),vlookup($A202&amp;$B202,{'3) Release_Label'!$D:$D&amp;'3) Release_Label'!$E:$E,'3) Release_Label'!$H:$H},2,0),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E202" s="128" t="str">
        <f t="shared" si="3"/>
        <v/>
      </c>
      <c r="G202" s="93"/>
      <c r="H202" s="133"/>
      <c r="J202" s="20"/>
      <c r="K202" s="94"/>
      <c r="L202" s="20"/>
      <c r="N202" s="20"/>
      <c r="O202" s="20"/>
      <c r="P202" s="20"/>
    </row>
    <row r="203">
      <c r="A203" s="28"/>
      <c r="B203" s="93"/>
      <c r="C203" s="114" t="str">
        <f t="array" ref="C203">ifs(and(isblank($A203),isblank($B203)),"", not(iserror(vlookup($A203&amp;$B203,'3) Release_Label'!$D:$D&amp;'3) Release_Label'!$E:$E,1,0))),vlookup($A203&amp;$B203,{'3) Release_Label'!$D:$D&amp;'3) Release_Label'!$E:$E,'3) Release_Label'!$F:$F},2,0),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D203" s="114" t="str">
        <f t="array" ref="D203">ifs(and(isblank($A203),isblank($B203)),"", not(iserror(vlookup($A203&amp;$B203,'3) Release_Label'!$D:$D&amp;'3) Release_Label'!$E:$E,1,0))),vlookup($A203&amp;$B203,{'3) Release_Label'!$D:$D&amp;'3) Release_Label'!$E:$E,'3) Release_Label'!$H:$H},2,0),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E203" s="128" t="str">
        <f t="shared" si="3"/>
        <v/>
      </c>
      <c r="G203" s="93"/>
      <c r="H203" s="133"/>
      <c r="J203" s="20"/>
      <c r="K203" s="94"/>
      <c r="L203" s="20"/>
      <c r="N203" s="20"/>
      <c r="O203" s="20"/>
      <c r="P203" s="20"/>
    </row>
    <row r="204">
      <c r="A204" s="28"/>
      <c r="B204" s="93"/>
      <c r="C204" s="114" t="str">
        <f t="array" ref="C204">ifs(and(isblank($A204),isblank($B204)),"", not(iserror(vlookup($A204&amp;$B204,'3) Release_Label'!$D:$D&amp;'3) Release_Label'!$E:$E,1,0))),vlookup($A204&amp;$B204,{'3) Release_Label'!$D:$D&amp;'3) Release_Label'!$E:$E,'3) Release_Label'!$F:$F},2,0),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D204" s="114" t="str">
        <f t="array" ref="D204">ifs(and(isblank($A204),isblank($B204)),"", not(iserror(vlookup($A204&amp;$B204,'3) Release_Label'!$D:$D&amp;'3) Release_Label'!$E:$E,1,0))),vlookup($A204&amp;$B204,{'3) Release_Label'!$D:$D&amp;'3) Release_Label'!$E:$E,'3) Release_Label'!$H:$H},2,0),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E204" s="128" t="str">
        <f t="shared" si="3"/>
        <v/>
      </c>
      <c r="G204" s="93"/>
      <c r="H204" s="133"/>
      <c r="J204" s="20"/>
      <c r="K204" s="94"/>
      <c r="L204" s="20"/>
      <c r="N204" s="20"/>
      <c r="O204" s="20"/>
      <c r="P204" s="20"/>
    </row>
    <row r="205">
      <c r="A205" s="28"/>
      <c r="B205" s="93"/>
      <c r="C205" s="114" t="str">
        <f t="array" ref="C205">ifs(and(isblank($A205),isblank($B205)),"", not(iserror(vlookup($A205&amp;$B205,'3) Release_Label'!$D:$D&amp;'3) Release_Label'!$E:$E,1,0))),vlookup($A205&amp;$B205,{'3) Release_Label'!$D:$D&amp;'3) Release_Label'!$E:$E,'3) Release_Label'!$F:$F},2,0),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D205" s="114" t="str">
        <f t="array" ref="D205">ifs(and(isblank($A205),isblank($B205)),"", not(iserror(vlookup($A205&amp;$B205,'3) Release_Label'!$D:$D&amp;'3) Release_Label'!$E:$E,1,0))),vlookup($A205&amp;$B205,{'3) Release_Label'!$D:$D&amp;'3) Release_Label'!$E:$E,'3) Release_Label'!$H:$H},2,0),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E205" s="128" t="str">
        <f t="shared" si="3"/>
        <v/>
      </c>
      <c r="G205" s="93"/>
      <c r="H205" s="133"/>
      <c r="J205" s="20"/>
      <c r="K205" s="94"/>
      <c r="L205" s="20"/>
      <c r="N205" s="20"/>
      <c r="O205" s="20"/>
      <c r="P205" s="20"/>
    </row>
    <row r="206">
      <c r="A206" s="28"/>
      <c r="B206" s="93"/>
      <c r="C206" s="114" t="str">
        <f t="array" ref="C206">ifs(and(isblank($A206),isblank($B206)),"", not(iserror(vlookup($A206&amp;$B206,'3) Release_Label'!$D:$D&amp;'3) Release_Label'!$E:$E,1,0))),vlookup($A206&amp;$B206,{'3) Release_Label'!$D:$D&amp;'3) Release_Label'!$E:$E,'3) Release_Label'!$F:$F},2,0),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D206" s="114" t="str">
        <f t="array" ref="D206">ifs(and(isblank($A206),isblank($B206)),"", not(iserror(vlookup($A206&amp;$B206,'3) Release_Label'!$D:$D&amp;'3) Release_Label'!$E:$E,1,0))),vlookup($A206&amp;$B206,{'3) Release_Label'!$D:$D&amp;'3) Release_Label'!$E:$E,'3) Release_Label'!$H:$H},2,0),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E206" s="128" t="str">
        <f t="shared" si="3"/>
        <v/>
      </c>
      <c r="G206" s="93"/>
      <c r="H206" s="133"/>
      <c r="J206" s="20"/>
      <c r="K206" s="94"/>
      <c r="L206" s="20"/>
      <c r="N206" s="20"/>
      <c r="O206" s="20"/>
      <c r="P206" s="20"/>
    </row>
    <row r="207">
      <c r="A207" s="28"/>
      <c r="B207" s="93"/>
      <c r="C207" s="114" t="str">
        <f t="array" ref="C207">ifs(and(isblank($A207),isblank($B207)),"", not(iserror(vlookup($A207&amp;$B207,'3) Release_Label'!$D:$D&amp;'3) Release_Label'!$E:$E,1,0))),vlookup($A207&amp;$B207,{'3) Release_Label'!$D:$D&amp;'3) Release_Label'!$E:$E,'3) Release_Label'!$F:$F},2,0),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D207" s="114" t="str">
        <f t="array" ref="D207">ifs(and(isblank($A207),isblank($B207)),"", not(iserror(vlookup($A207&amp;$B207,'3) Release_Label'!$D:$D&amp;'3) Release_Label'!$E:$E,1,0))),vlookup($A207&amp;$B207,{'3) Release_Label'!$D:$D&amp;'3) Release_Label'!$E:$E,'3) Release_Label'!$H:$H},2,0),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E207" s="128" t="str">
        <f t="shared" si="3"/>
        <v/>
      </c>
      <c r="G207" s="93"/>
      <c r="H207" s="133"/>
      <c r="J207" s="20"/>
      <c r="K207" s="94"/>
      <c r="L207" s="20"/>
      <c r="N207" s="20"/>
      <c r="O207" s="20"/>
      <c r="P207" s="20"/>
    </row>
    <row r="208">
      <c r="A208" s="28"/>
      <c r="B208" s="93"/>
      <c r="C208" s="114" t="str">
        <f t="array" ref="C208">ifs(and(isblank($A208),isblank($B208)),"", not(iserror(vlookup($A208&amp;$B208,'3) Release_Label'!$D:$D&amp;'3) Release_Label'!$E:$E,1,0))),vlookup($A208&amp;$B208,{'3) Release_Label'!$D:$D&amp;'3) Release_Label'!$E:$E,'3) Release_Label'!$F:$F},2,0),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D208" s="114" t="str">
        <f t="array" ref="D208">ifs(and(isblank($A208),isblank($B208)),"", not(iserror(vlookup($A208&amp;$B208,'3) Release_Label'!$D:$D&amp;'3) Release_Label'!$E:$E,1,0))),vlookup($A208&amp;$B208,{'3) Release_Label'!$D:$D&amp;'3) Release_Label'!$E:$E,'3) Release_Label'!$H:$H},2,0),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E208" s="128" t="str">
        <f t="shared" si="3"/>
        <v/>
      </c>
      <c r="G208" s="93"/>
      <c r="H208" s="133"/>
      <c r="J208" s="20"/>
      <c r="K208" s="94"/>
      <c r="L208" s="20"/>
      <c r="N208" s="20"/>
      <c r="O208" s="20"/>
      <c r="P208" s="20"/>
    </row>
    <row r="209">
      <c r="A209" s="28"/>
      <c r="B209" s="93"/>
      <c r="C209" s="114" t="str">
        <f t="array" ref="C209">ifs(and(isblank($A209),isblank($B209)),"", not(iserror(vlookup($A209&amp;$B209,'3) Release_Label'!$D:$D&amp;'3) Release_Label'!$E:$E,1,0))),vlookup($A209&amp;$B209,{'3) Release_Label'!$D:$D&amp;'3) Release_Label'!$E:$E,'3) Release_Label'!$F:$F},2,0),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D209" s="114" t="str">
        <f t="array" ref="D209">ifs(and(isblank($A209),isblank($B209)),"", not(iserror(vlookup($A209&amp;$B209,'3) Release_Label'!$D:$D&amp;'3) Release_Label'!$E:$E,1,0))),vlookup($A209&amp;$B209,{'3) Release_Label'!$D:$D&amp;'3) Release_Label'!$E:$E,'3) Release_Label'!$H:$H},2,0),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E209" s="128" t="str">
        <f t="shared" si="3"/>
        <v/>
      </c>
      <c r="G209" s="93"/>
      <c r="H209" s="133"/>
      <c r="J209" s="20"/>
      <c r="K209" s="94"/>
      <c r="L209" s="20"/>
      <c r="N209" s="20"/>
      <c r="O209" s="20"/>
      <c r="P209" s="20"/>
    </row>
    <row r="210">
      <c r="A210" s="28"/>
      <c r="B210" s="93"/>
      <c r="C210" s="114" t="str">
        <f t="array" ref="C210">ifs(and(isblank($A210),isblank($B210)),"", not(iserror(vlookup($A210&amp;$B210,'3) Release_Label'!$D:$D&amp;'3) Release_Label'!$E:$E,1,0))),vlookup($A210&amp;$B210,{'3) Release_Label'!$D:$D&amp;'3) Release_Label'!$E:$E,'3) Release_Label'!$F:$F},2,0),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D210" s="114" t="str">
        <f t="array" ref="D210">ifs(and(isblank($A210),isblank($B210)),"", not(iserror(vlookup($A210&amp;$B210,'3) Release_Label'!$D:$D&amp;'3) Release_Label'!$E:$E,1,0))),vlookup($A210&amp;$B210,{'3) Release_Label'!$D:$D&amp;'3) Release_Label'!$E:$E,'3) Release_Label'!$H:$H},2,0),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E210" s="128" t="str">
        <f t="shared" si="3"/>
        <v/>
      </c>
      <c r="G210" s="93"/>
      <c r="H210" s="133"/>
      <c r="J210" s="20"/>
      <c r="K210" s="94"/>
      <c r="L210" s="20"/>
      <c r="N210" s="20"/>
      <c r="O210" s="20"/>
      <c r="P210" s="20"/>
    </row>
    <row r="211">
      <c r="A211" s="28"/>
      <c r="B211" s="93"/>
      <c r="C211" s="114" t="str">
        <f t="array" ref="C211">ifs(and(isblank($A211),isblank($B211)),"", not(iserror(vlookup($A211&amp;$B211,'3) Release_Label'!$D:$D&amp;'3) Release_Label'!$E:$E,1,0))),vlookup($A211&amp;$B211,{'3) Release_Label'!$D:$D&amp;'3) Release_Label'!$E:$E,'3) Release_Label'!$F:$F},2,0),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D211" s="114" t="str">
        <f t="array" ref="D211">ifs(and(isblank($A211),isblank($B211)),"", not(iserror(vlookup($A211&amp;$B211,'3) Release_Label'!$D:$D&amp;'3) Release_Label'!$E:$E,1,0))),vlookup($A211&amp;$B211,{'3) Release_Label'!$D:$D&amp;'3) Release_Label'!$E:$E,'3) Release_Label'!$H:$H},2,0),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E211" s="128" t="str">
        <f t="shared" si="3"/>
        <v/>
      </c>
      <c r="G211" s="93"/>
      <c r="H211" s="133"/>
      <c r="J211" s="20"/>
      <c r="K211" s="94"/>
      <c r="L211" s="20"/>
      <c r="N211" s="20"/>
      <c r="O211" s="20"/>
      <c r="P211" s="20"/>
    </row>
    <row r="212">
      <c r="A212" s="28"/>
      <c r="B212" s="93"/>
      <c r="C212" s="114" t="str">
        <f t="array" ref="C212">ifs(and(isblank($A212),isblank($B212)),"", not(iserror(vlookup($A212&amp;$B212,'3) Release_Label'!$D:$D&amp;'3) Release_Label'!$E:$E,1,0))),vlookup($A212&amp;$B212,{'3) Release_Label'!$D:$D&amp;'3) Release_Label'!$E:$E,'3) Release_Label'!$F:$F},2,0),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D212" s="114" t="str">
        <f t="array" ref="D212">ifs(and(isblank($A212),isblank($B212)),"", not(iserror(vlookup($A212&amp;$B212,'3) Release_Label'!$D:$D&amp;'3) Release_Label'!$E:$E,1,0))),vlookup($A212&amp;$B212,{'3) Release_Label'!$D:$D&amp;'3) Release_Label'!$E:$E,'3) Release_Label'!$H:$H},2,0),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E212" s="128" t="str">
        <f t="shared" si="3"/>
        <v/>
      </c>
      <c r="G212" s="93"/>
      <c r="H212" s="133"/>
      <c r="J212" s="20"/>
      <c r="K212" s="94"/>
      <c r="L212" s="20"/>
      <c r="N212" s="20"/>
      <c r="O212" s="20"/>
      <c r="P212" s="20"/>
    </row>
    <row r="213">
      <c r="A213" s="28"/>
      <c r="B213" s="93"/>
      <c r="C213" s="114" t="str">
        <f t="array" ref="C213">ifs(and(isblank($A213),isblank($B213)),"", not(iserror(vlookup($A213&amp;$B213,'3) Release_Label'!$D:$D&amp;'3) Release_Label'!$E:$E,1,0))),vlookup($A213&amp;$B213,{'3) Release_Label'!$D:$D&amp;'3) Release_Label'!$E:$E,'3) Release_Label'!$F:$F},2,0),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D213" s="114" t="str">
        <f t="array" ref="D213">ifs(and(isblank($A213),isblank($B213)),"", not(iserror(vlookup($A213&amp;$B213,'3) Release_Label'!$D:$D&amp;'3) Release_Label'!$E:$E,1,0))),vlookup($A213&amp;$B213,{'3) Release_Label'!$D:$D&amp;'3) Release_Label'!$E:$E,'3) Release_Label'!$H:$H},2,0),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E213" s="128" t="str">
        <f t="shared" si="3"/>
        <v/>
      </c>
      <c r="G213" s="93"/>
      <c r="H213" s="133"/>
      <c r="J213" s="20"/>
      <c r="K213" s="94"/>
      <c r="L213" s="20"/>
      <c r="N213" s="20"/>
      <c r="O213" s="20"/>
      <c r="P213" s="20"/>
    </row>
    <row r="214">
      <c r="A214" s="28"/>
      <c r="B214" s="93"/>
      <c r="C214" s="114" t="str">
        <f t="array" ref="C214">ifs(and(isblank($A214),isblank($B214)),"", not(iserror(vlookup($A214&amp;$B214,'3) Release_Label'!$D:$D&amp;'3) Release_Label'!$E:$E,1,0))),vlookup($A214&amp;$B214,{'3) Release_Label'!$D:$D&amp;'3) Release_Label'!$E:$E,'3) Release_Label'!$F:$F},2,0),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D214" s="114" t="str">
        <f t="array" ref="D214">ifs(and(isblank($A214),isblank($B214)),"", not(iserror(vlookup($A214&amp;$B214,'3) Release_Label'!$D:$D&amp;'3) Release_Label'!$E:$E,1,0))),vlookup($A214&amp;$B214,{'3) Release_Label'!$D:$D&amp;'3) Release_Label'!$E:$E,'3) Release_Label'!$H:$H},2,0),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E214" s="128" t="str">
        <f t="shared" si="3"/>
        <v/>
      </c>
      <c r="G214" s="93"/>
      <c r="H214" s="133"/>
      <c r="J214" s="20"/>
      <c r="K214" s="94"/>
      <c r="L214" s="20"/>
      <c r="N214" s="20"/>
      <c r="O214" s="20"/>
      <c r="P214" s="20"/>
    </row>
    <row r="215">
      <c r="A215" s="28"/>
      <c r="B215" s="93"/>
      <c r="C215" s="114" t="str">
        <f t="array" ref="C215">ifs(and(isblank($A215),isblank($B215)),"", not(iserror(vlookup($A215&amp;$B215,'3) Release_Label'!$D:$D&amp;'3) Release_Label'!$E:$E,1,0))),vlookup($A215&amp;$B215,{'3) Release_Label'!$D:$D&amp;'3) Release_Label'!$E:$E,'3) Release_Label'!$F:$F},2,0),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D215" s="114" t="str">
        <f t="array" ref="D215">ifs(and(isblank($A215),isblank($B215)),"", not(iserror(vlookup($A215&amp;$B215,'3) Release_Label'!$D:$D&amp;'3) Release_Label'!$E:$E,1,0))),vlookup($A215&amp;$B215,{'3) Release_Label'!$D:$D&amp;'3) Release_Label'!$E:$E,'3) Release_Label'!$H:$H},2,0),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E215" s="128" t="str">
        <f t="shared" si="3"/>
        <v/>
      </c>
      <c r="G215" s="93"/>
      <c r="H215" s="133"/>
      <c r="J215" s="20"/>
      <c r="K215" s="94"/>
      <c r="L215" s="20"/>
      <c r="N215" s="20"/>
      <c r="O215" s="20"/>
      <c r="P215" s="20"/>
    </row>
    <row r="216">
      <c r="A216" s="28"/>
      <c r="B216" s="93"/>
      <c r="C216" s="114" t="str">
        <f t="array" ref="C216">ifs(and(isblank($A216),isblank($B216)),"", not(iserror(vlookup($A216&amp;$B216,'3) Release_Label'!$D:$D&amp;'3) Release_Label'!$E:$E,1,0))),vlookup($A216&amp;$B216,{'3) Release_Label'!$D:$D&amp;'3) Release_Label'!$E:$E,'3) Release_Label'!$F:$F},2,0),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D216" s="114" t="str">
        <f t="array" ref="D216">ifs(and(isblank($A216),isblank($B216)),"", not(iserror(vlookup($A216&amp;$B216,'3) Release_Label'!$D:$D&amp;'3) Release_Label'!$E:$E,1,0))),vlookup($A216&amp;$B216,{'3) Release_Label'!$D:$D&amp;'3) Release_Label'!$E:$E,'3) Release_Label'!$H:$H},2,0),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E216" s="128" t="str">
        <f t="shared" si="3"/>
        <v/>
      </c>
      <c r="G216" s="93"/>
      <c r="H216" s="133"/>
      <c r="J216" s="20"/>
      <c r="K216" s="94"/>
      <c r="L216" s="20"/>
      <c r="N216" s="20"/>
      <c r="O216" s="20"/>
      <c r="P216" s="20"/>
    </row>
    <row r="217">
      <c r="A217" s="28"/>
      <c r="B217" s="93"/>
      <c r="C217" s="114" t="str">
        <f t="array" ref="C217">ifs(and(isblank($A217),isblank($B217)),"", not(iserror(vlookup($A217&amp;$B217,'3) Release_Label'!$D:$D&amp;'3) Release_Label'!$E:$E,1,0))),vlookup($A217&amp;$B217,{'3) Release_Label'!$D:$D&amp;'3) Release_Label'!$E:$E,'3) Release_Label'!$F:$F},2,0),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D217" s="114" t="str">
        <f t="array" ref="D217">ifs(and(isblank($A217),isblank($B217)),"", not(iserror(vlookup($A217&amp;$B217,'3) Release_Label'!$D:$D&amp;'3) Release_Label'!$E:$E,1,0))),vlookup($A217&amp;$B217,{'3) Release_Label'!$D:$D&amp;'3) Release_Label'!$E:$E,'3) Release_Label'!$H:$H},2,0),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E217" s="128" t="str">
        <f t="shared" si="3"/>
        <v/>
      </c>
      <c r="G217" s="93"/>
      <c r="H217" s="133"/>
      <c r="J217" s="20"/>
      <c r="K217" s="94"/>
      <c r="L217" s="20"/>
      <c r="N217" s="20"/>
      <c r="O217" s="20"/>
      <c r="P217" s="20"/>
    </row>
    <row r="218">
      <c r="A218" s="28"/>
      <c r="B218" s="93"/>
      <c r="C218" s="114" t="str">
        <f t="array" ref="C218">ifs(and(isblank($A218),isblank($B218)),"", not(iserror(vlookup($A218&amp;$B218,'3) Release_Label'!$D:$D&amp;'3) Release_Label'!$E:$E,1,0))),vlookup($A218&amp;$B218,{'3) Release_Label'!$D:$D&amp;'3) Release_Label'!$E:$E,'3) Release_Label'!$F:$F},2,0),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D218" s="114" t="str">
        <f t="array" ref="D218">ifs(and(isblank($A218),isblank($B218)),"", not(iserror(vlookup($A218&amp;$B218,'3) Release_Label'!$D:$D&amp;'3) Release_Label'!$E:$E,1,0))),vlookup($A218&amp;$B218,{'3) Release_Label'!$D:$D&amp;'3) Release_Label'!$E:$E,'3) Release_Label'!$H:$H},2,0),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E218" s="128" t="str">
        <f t="shared" si="3"/>
        <v/>
      </c>
      <c r="G218" s="93"/>
      <c r="H218" s="133"/>
      <c r="J218" s="20"/>
      <c r="K218" s="94"/>
      <c r="L218" s="20"/>
      <c r="N218" s="20"/>
      <c r="O218" s="20"/>
      <c r="P218" s="20"/>
    </row>
    <row r="219">
      <c r="A219" s="28"/>
      <c r="B219" s="93"/>
      <c r="C219" s="114" t="str">
        <f t="array" ref="C219">ifs(and(isblank($A219),isblank($B219)),"", not(iserror(vlookup($A219&amp;$B219,'3) Release_Label'!$D:$D&amp;'3) Release_Label'!$E:$E,1,0))),vlookup($A219&amp;$B219,{'3) Release_Label'!$D:$D&amp;'3) Release_Label'!$E:$E,'3) Release_Label'!$F:$F},2,0),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D219" s="114" t="str">
        <f t="array" ref="D219">ifs(and(isblank($A219),isblank($B219)),"", not(iserror(vlookup($A219&amp;$B219,'3) Release_Label'!$D:$D&amp;'3) Release_Label'!$E:$E,1,0))),vlookup($A219&amp;$B219,{'3) Release_Label'!$D:$D&amp;'3) Release_Label'!$E:$E,'3) Release_Label'!$H:$H},2,0),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E219" s="128" t="str">
        <f t="shared" si="3"/>
        <v/>
      </c>
      <c r="G219" s="93"/>
      <c r="H219" s="133"/>
      <c r="J219" s="20"/>
      <c r="K219" s="94"/>
      <c r="L219" s="20"/>
      <c r="N219" s="20"/>
      <c r="O219" s="20"/>
      <c r="P219" s="20"/>
    </row>
    <row r="220">
      <c r="A220" s="28"/>
      <c r="B220" s="93"/>
      <c r="C220" s="114" t="str">
        <f t="array" ref="C220">ifs(and(isblank($A220),isblank($B220)),"", not(iserror(vlookup($A220&amp;$B220,'3) Release_Label'!$D:$D&amp;'3) Release_Label'!$E:$E,1,0))),vlookup($A220&amp;$B220,{'3) Release_Label'!$D:$D&amp;'3) Release_Label'!$E:$E,'3) Release_Label'!$F:$F},2,0),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D220" s="114" t="str">
        <f t="array" ref="D220">ifs(and(isblank($A220),isblank($B220)),"", not(iserror(vlookup($A220&amp;$B220,'3) Release_Label'!$D:$D&amp;'3) Release_Label'!$E:$E,1,0))),vlookup($A220&amp;$B220,{'3) Release_Label'!$D:$D&amp;'3) Release_Label'!$E:$E,'3) Release_Label'!$H:$H},2,0),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E220" s="128" t="str">
        <f t="shared" si="3"/>
        <v/>
      </c>
      <c r="G220" s="93"/>
      <c r="H220" s="133"/>
      <c r="J220" s="20"/>
      <c r="K220" s="94"/>
      <c r="L220" s="20"/>
      <c r="N220" s="20"/>
      <c r="O220" s="20"/>
      <c r="P220" s="20"/>
    </row>
    <row r="221">
      <c r="A221" s="28"/>
      <c r="B221" s="93"/>
      <c r="C221" s="114" t="str">
        <f t="array" ref="C221">ifs(and(isblank($A221),isblank($B221)),"", not(iserror(vlookup($A221&amp;$B221,'3) Release_Label'!$D:$D&amp;'3) Release_Label'!$E:$E,1,0))),vlookup($A221&amp;$B221,{'3) Release_Label'!$D:$D&amp;'3) Release_Label'!$E:$E,'3) Release_Label'!$F:$F},2,0),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D221" s="114" t="str">
        <f t="array" ref="D221">ifs(and(isblank($A221),isblank($B221)),"", not(iserror(vlookup($A221&amp;$B221,'3) Release_Label'!$D:$D&amp;'3) Release_Label'!$E:$E,1,0))),vlookup($A221&amp;$B221,{'3) Release_Label'!$D:$D&amp;'3) Release_Label'!$E:$E,'3) Release_Label'!$H:$H},2,0),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E221" s="128" t="str">
        <f t="shared" si="3"/>
        <v/>
      </c>
      <c r="G221" s="93"/>
      <c r="H221" s="133"/>
      <c r="J221" s="20"/>
      <c r="K221" s="94"/>
      <c r="L221" s="20"/>
      <c r="N221" s="20"/>
      <c r="O221" s="20"/>
      <c r="P221" s="20"/>
    </row>
    <row r="222">
      <c r="A222" s="28"/>
      <c r="B222" s="93"/>
      <c r="C222" s="114" t="str">
        <f t="array" ref="C222">ifs(and(isblank($A222),isblank($B222)),"", not(iserror(vlookup($A222&amp;$B222,'3) Release_Label'!$D:$D&amp;'3) Release_Label'!$E:$E,1,0))),vlookup($A222&amp;$B222,{'3) Release_Label'!$D:$D&amp;'3) Release_Label'!$E:$E,'3) Release_Label'!$F:$F},2,0),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D222" s="114" t="str">
        <f t="array" ref="D222">ifs(and(isblank($A222),isblank($B222)),"", not(iserror(vlookup($A222&amp;$B222,'3) Release_Label'!$D:$D&amp;'3) Release_Label'!$E:$E,1,0))),vlookup($A222&amp;$B222,{'3) Release_Label'!$D:$D&amp;'3) Release_Label'!$E:$E,'3) Release_Label'!$H:$H},2,0),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E222" s="128" t="str">
        <f t="shared" si="3"/>
        <v/>
      </c>
      <c r="G222" s="93"/>
      <c r="H222" s="133"/>
      <c r="J222" s="20"/>
      <c r="K222" s="94"/>
      <c r="L222" s="20"/>
      <c r="N222" s="20"/>
      <c r="O222" s="20"/>
      <c r="P222" s="20"/>
    </row>
    <row r="223">
      <c r="A223" s="28"/>
      <c r="B223" s="93"/>
      <c r="C223" s="114" t="str">
        <f t="array" ref="C223">ifs(and(isblank($A223),isblank($B223)),"", not(iserror(vlookup($A223&amp;$B223,'3) Release_Label'!$D:$D&amp;'3) Release_Label'!$E:$E,1,0))),vlookup($A223&amp;$B223,{'3) Release_Label'!$D:$D&amp;'3) Release_Label'!$E:$E,'3) Release_Label'!$F:$F},2,0),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D223" s="114" t="str">
        <f t="array" ref="D223">ifs(and(isblank($A223),isblank($B223)),"", not(iserror(vlookup($A223&amp;$B223,'3) Release_Label'!$D:$D&amp;'3) Release_Label'!$E:$E,1,0))),vlookup($A223&amp;$B223,{'3) Release_Label'!$D:$D&amp;'3) Release_Label'!$E:$E,'3) Release_Label'!$H:$H},2,0),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E223" s="128" t="str">
        <f t="shared" si="3"/>
        <v/>
      </c>
      <c r="G223" s="93"/>
      <c r="H223" s="133"/>
      <c r="J223" s="20"/>
      <c r="K223" s="94"/>
      <c r="L223" s="20"/>
      <c r="N223" s="20"/>
      <c r="O223" s="20"/>
      <c r="P223" s="20"/>
    </row>
    <row r="224">
      <c r="A224" s="28"/>
      <c r="B224" s="93"/>
      <c r="C224" s="114" t="str">
        <f t="array" ref="C224">ifs(and(isblank($A224),isblank($B224)),"", not(iserror(vlookup($A224&amp;$B224,'3) Release_Label'!$D:$D&amp;'3) Release_Label'!$E:$E,1,0))),vlookup($A224&amp;$B224,{'3) Release_Label'!$D:$D&amp;'3) Release_Label'!$E:$E,'3) Release_Label'!$F:$F},2,0),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D224" s="114" t="str">
        <f t="array" ref="D224">ifs(and(isblank($A224),isblank($B224)),"", not(iserror(vlookup($A224&amp;$B224,'3) Release_Label'!$D:$D&amp;'3) Release_Label'!$E:$E,1,0))),vlookup($A224&amp;$B224,{'3) Release_Label'!$D:$D&amp;'3) Release_Label'!$E:$E,'3) Release_Label'!$H:$H},2,0),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E224" s="128" t="str">
        <f t="shared" si="3"/>
        <v/>
      </c>
      <c r="G224" s="93"/>
      <c r="H224" s="133"/>
      <c r="J224" s="20"/>
      <c r="K224" s="94"/>
      <c r="L224" s="20"/>
      <c r="N224" s="20"/>
      <c r="O224" s="20"/>
      <c r="P224" s="20"/>
    </row>
    <row r="225">
      <c r="A225" s="28"/>
      <c r="B225" s="93"/>
      <c r="C225" s="114" t="str">
        <f t="array" ref="C225">ifs(and(isblank($A225),isblank($B225)),"", not(iserror(vlookup($A225&amp;$B225,'3) Release_Label'!$D:$D&amp;'3) Release_Label'!$E:$E,1,0))),vlookup($A225&amp;$B225,{'3) Release_Label'!$D:$D&amp;'3) Release_Label'!$E:$E,'3) Release_Label'!$F:$F},2,0),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D225" s="114" t="str">
        <f t="array" ref="D225">ifs(and(isblank($A225),isblank($B225)),"", not(iserror(vlookup($A225&amp;$B225,'3) Release_Label'!$D:$D&amp;'3) Release_Label'!$E:$E,1,0))),vlookup($A225&amp;$B225,{'3) Release_Label'!$D:$D&amp;'3) Release_Label'!$E:$E,'3) Release_Label'!$H:$H},2,0),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E225" s="128" t="str">
        <f t="shared" si="3"/>
        <v/>
      </c>
      <c r="G225" s="93"/>
      <c r="H225" s="133"/>
      <c r="J225" s="20"/>
      <c r="K225" s="94"/>
      <c r="L225" s="20"/>
      <c r="N225" s="20"/>
      <c r="O225" s="20"/>
      <c r="P225" s="20"/>
    </row>
    <row r="226">
      <c r="A226" s="28"/>
      <c r="B226" s="93"/>
      <c r="C226" s="114" t="str">
        <f t="array" ref="C226">ifs(and(isblank($A226),isblank($B226)),"", not(iserror(vlookup($A226&amp;$B226,'3) Release_Label'!$D:$D&amp;'3) Release_Label'!$E:$E,1,0))),vlookup($A226&amp;$B226,{'3) Release_Label'!$D:$D&amp;'3) Release_Label'!$E:$E,'3) Release_Label'!$F:$F},2,0),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D226" s="114" t="str">
        <f t="array" ref="D226">ifs(and(isblank($A226),isblank($B226)),"", not(iserror(vlookup($A226&amp;$B226,'3) Release_Label'!$D:$D&amp;'3) Release_Label'!$E:$E,1,0))),vlookup($A226&amp;$B226,{'3) Release_Label'!$D:$D&amp;'3) Release_Label'!$E:$E,'3) Release_Label'!$H:$H},2,0),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E226" s="128" t="str">
        <f t="shared" si="3"/>
        <v/>
      </c>
      <c r="G226" s="93"/>
      <c r="H226" s="133"/>
      <c r="J226" s="20"/>
      <c r="K226" s="94"/>
      <c r="L226" s="20"/>
      <c r="N226" s="20"/>
      <c r="O226" s="20"/>
      <c r="P226" s="20"/>
    </row>
    <row r="227">
      <c r="A227" s="28"/>
      <c r="B227" s="93"/>
      <c r="C227" s="114" t="str">
        <f t="array" ref="C227">ifs(and(isblank($A227),isblank($B227)),"", not(iserror(vlookup($A227&amp;$B227,'3) Release_Label'!$D:$D&amp;'3) Release_Label'!$E:$E,1,0))),vlookup($A227&amp;$B227,{'3) Release_Label'!$D:$D&amp;'3) Release_Label'!$E:$E,'3) Release_Label'!$F:$F},2,0),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D227" s="114" t="str">
        <f t="array" ref="D227">ifs(and(isblank($A227),isblank($B227)),"", not(iserror(vlookup($A227&amp;$B227,'3) Release_Label'!$D:$D&amp;'3) Release_Label'!$E:$E,1,0))),vlookup($A227&amp;$B227,{'3) Release_Label'!$D:$D&amp;'3) Release_Label'!$E:$E,'3) Release_Label'!$H:$H},2,0),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E227" s="128" t="str">
        <f t="shared" si="3"/>
        <v/>
      </c>
      <c r="G227" s="93"/>
      <c r="H227" s="133"/>
      <c r="J227" s="20"/>
      <c r="K227" s="94"/>
      <c r="L227" s="20"/>
      <c r="N227" s="20"/>
      <c r="O227" s="20"/>
      <c r="P227" s="20"/>
    </row>
    <row r="228">
      <c r="A228" s="28"/>
      <c r="B228" s="93"/>
      <c r="C228" s="114" t="str">
        <f t="array" ref="C228">ifs(and(isblank($A228),isblank($B228)),"", not(iserror(vlookup($A228&amp;$B228,'3) Release_Label'!$D:$D&amp;'3) Release_Label'!$E:$E,1,0))),vlookup($A228&amp;$B228,{'3) Release_Label'!$D:$D&amp;'3) Release_Label'!$E:$E,'3) Release_Label'!$F:$F},2,0),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D228" s="114" t="str">
        <f t="array" ref="D228">ifs(and(isblank($A228),isblank($B228)),"", not(iserror(vlookup($A228&amp;$B228,'3) Release_Label'!$D:$D&amp;'3) Release_Label'!$E:$E,1,0))),vlookup($A228&amp;$B228,{'3) Release_Label'!$D:$D&amp;'3) Release_Label'!$E:$E,'3) Release_Label'!$H:$H},2,0),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E228" s="128" t="str">
        <f t="shared" si="3"/>
        <v/>
      </c>
      <c r="G228" s="93"/>
      <c r="H228" s="133"/>
      <c r="J228" s="20"/>
      <c r="K228" s="94"/>
      <c r="L228" s="20"/>
      <c r="N228" s="20"/>
      <c r="O228" s="20"/>
      <c r="P228" s="20"/>
    </row>
    <row r="229">
      <c r="A229" s="28"/>
      <c r="B229" s="93"/>
      <c r="C229" s="114" t="str">
        <f t="array" ref="C229">ifs(and(isblank($A229),isblank($B229)),"", not(iserror(vlookup($A229&amp;$B229,'3) Release_Label'!$D:$D&amp;'3) Release_Label'!$E:$E,1,0))),vlookup($A229&amp;$B229,{'3) Release_Label'!$D:$D&amp;'3) Release_Label'!$E:$E,'3) Release_Label'!$F:$F},2,0),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D229" s="114" t="str">
        <f t="array" ref="D229">ifs(and(isblank($A229),isblank($B229)),"", not(iserror(vlookup($A229&amp;$B229,'3) Release_Label'!$D:$D&amp;'3) Release_Label'!$E:$E,1,0))),vlookup($A229&amp;$B229,{'3) Release_Label'!$D:$D&amp;'3) Release_Label'!$E:$E,'3) Release_Label'!$H:$H},2,0),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E229" s="128" t="str">
        <f t="shared" si="3"/>
        <v/>
      </c>
      <c r="G229" s="93"/>
      <c r="H229" s="133"/>
      <c r="J229" s="20"/>
      <c r="K229" s="94"/>
      <c r="L229" s="20"/>
      <c r="N229" s="20"/>
      <c r="O229" s="20"/>
      <c r="P229" s="20"/>
    </row>
    <row r="230">
      <c r="A230" s="28"/>
      <c r="B230" s="93"/>
      <c r="C230" s="114" t="str">
        <f t="array" ref="C230">ifs(and(isblank($A230),isblank($B230)),"", not(iserror(vlookup($A230&amp;$B230,'3) Release_Label'!$D:$D&amp;'3) Release_Label'!$E:$E,1,0))),vlookup($A230&amp;$B230,{'3) Release_Label'!$D:$D&amp;'3) Release_Label'!$E:$E,'3) Release_Label'!$F:$F},2,0),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D230" s="114" t="str">
        <f t="array" ref="D230">ifs(and(isblank($A230),isblank($B230)),"", not(iserror(vlookup($A230&amp;$B230,'3) Release_Label'!$D:$D&amp;'3) Release_Label'!$E:$E,1,0))),vlookup($A230&amp;$B230,{'3) Release_Label'!$D:$D&amp;'3) Release_Label'!$E:$E,'3) Release_Label'!$H:$H},2,0),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E230" s="128" t="str">
        <f t="shared" si="3"/>
        <v/>
      </c>
      <c r="G230" s="93"/>
      <c r="H230" s="133"/>
      <c r="J230" s="20"/>
      <c r="K230" s="94"/>
      <c r="L230" s="20"/>
      <c r="N230" s="20"/>
      <c r="O230" s="20"/>
      <c r="P230" s="20"/>
    </row>
    <row r="231">
      <c r="A231" s="28"/>
      <c r="B231" s="93"/>
      <c r="C231" s="114" t="str">
        <f t="array" ref="C231">ifs(and(isblank($A231),isblank($B231)),"", not(iserror(vlookup($A231&amp;$B231,'3) Release_Label'!$D:$D&amp;'3) Release_Label'!$E:$E,1,0))),vlookup($A231&amp;$B231,{'3) Release_Label'!$D:$D&amp;'3) Release_Label'!$E:$E,'3) Release_Label'!$F:$F},2,0),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D231" s="114" t="str">
        <f t="array" ref="D231">ifs(and(isblank($A231),isblank($B231)),"", not(iserror(vlookup($A231&amp;$B231,'3) Release_Label'!$D:$D&amp;'3) Release_Label'!$E:$E,1,0))),vlookup($A231&amp;$B231,{'3) Release_Label'!$D:$D&amp;'3) Release_Label'!$E:$E,'3) Release_Label'!$H:$H},2,0),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E231" s="128" t="str">
        <f t="shared" si="3"/>
        <v/>
      </c>
      <c r="G231" s="93"/>
      <c r="H231" s="133"/>
      <c r="J231" s="20"/>
      <c r="K231" s="94"/>
      <c r="L231" s="20"/>
      <c r="N231" s="20"/>
      <c r="O231" s="20"/>
      <c r="P231" s="20"/>
    </row>
    <row r="232">
      <c r="A232" s="28"/>
      <c r="B232" s="93"/>
      <c r="C232" s="114" t="str">
        <f t="array" ref="C232">ifs(and(isblank($A232),isblank($B232)),"", not(iserror(vlookup($A232&amp;$B232,'3) Release_Label'!$D:$D&amp;'3) Release_Label'!$E:$E,1,0))),vlookup($A232&amp;$B232,{'3) Release_Label'!$D:$D&amp;'3) Release_Label'!$E:$E,'3) Release_Label'!$F:$F},2,0),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D232" s="114" t="str">
        <f t="array" ref="D232">ifs(and(isblank($A232),isblank($B232)),"", not(iserror(vlookup($A232&amp;$B232,'3) Release_Label'!$D:$D&amp;'3) Release_Label'!$E:$E,1,0))),vlookup($A232&amp;$B232,{'3) Release_Label'!$D:$D&amp;'3) Release_Label'!$E:$E,'3) Release_Label'!$H:$H},2,0),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E232" s="128" t="str">
        <f t="shared" si="3"/>
        <v/>
      </c>
      <c r="G232" s="93"/>
      <c r="H232" s="133"/>
      <c r="J232" s="20"/>
      <c r="K232" s="94"/>
      <c r="L232" s="20"/>
      <c r="N232" s="20"/>
      <c r="O232" s="20"/>
      <c r="P232" s="20"/>
    </row>
    <row r="233">
      <c r="A233" s="28"/>
      <c r="B233" s="93"/>
      <c r="C233" s="114" t="str">
        <f t="array" ref="C233">ifs(and(isblank($A233),isblank($B233)),"", not(iserror(vlookup($A233&amp;$B233,'3) Release_Label'!$D:$D&amp;'3) Release_Label'!$E:$E,1,0))),vlookup($A233&amp;$B233,{'3) Release_Label'!$D:$D&amp;'3) Release_Label'!$E:$E,'3) Release_Label'!$F:$F},2,0),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D233" s="114" t="str">
        <f t="array" ref="D233">ifs(and(isblank($A233),isblank($B233)),"", not(iserror(vlookup($A233&amp;$B233,'3) Release_Label'!$D:$D&amp;'3) Release_Label'!$E:$E,1,0))),vlookup($A233&amp;$B233,{'3) Release_Label'!$D:$D&amp;'3) Release_Label'!$E:$E,'3) Release_Label'!$H:$H},2,0),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E233" s="128" t="str">
        <f t="shared" si="3"/>
        <v/>
      </c>
      <c r="G233" s="93"/>
      <c r="H233" s="133"/>
      <c r="J233" s="20"/>
      <c r="K233" s="94"/>
      <c r="L233" s="20"/>
      <c r="N233" s="20"/>
      <c r="O233" s="20"/>
      <c r="P233" s="20"/>
    </row>
    <row r="234">
      <c r="A234" s="28"/>
      <c r="B234" s="93"/>
      <c r="C234" s="114" t="str">
        <f t="array" ref="C234">ifs(and(isblank($A234),isblank($B234)),"", not(iserror(vlookup($A234&amp;$B234,'3) Release_Label'!$D:$D&amp;'3) Release_Label'!$E:$E,1,0))),vlookup($A234&amp;$B234,{'3) Release_Label'!$D:$D&amp;'3) Release_Label'!$E:$E,'3) Release_Label'!$F:$F},2,0),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D234" s="114" t="str">
        <f t="array" ref="D234">ifs(and(isblank($A234),isblank($B234)),"", not(iserror(vlookup($A234&amp;$B234,'3) Release_Label'!$D:$D&amp;'3) Release_Label'!$E:$E,1,0))),vlookup($A234&amp;$B234,{'3) Release_Label'!$D:$D&amp;'3) Release_Label'!$E:$E,'3) Release_Label'!$H:$H},2,0),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E234" s="128" t="str">
        <f t="shared" si="3"/>
        <v/>
      </c>
      <c r="G234" s="93"/>
      <c r="H234" s="133"/>
      <c r="J234" s="20"/>
      <c r="K234" s="94"/>
      <c r="L234" s="20"/>
      <c r="N234" s="20"/>
      <c r="O234" s="20"/>
      <c r="P234" s="20"/>
    </row>
    <row r="235">
      <c r="A235" s="28"/>
      <c r="B235" s="93"/>
      <c r="C235" s="114" t="str">
        <f t="array" ref="C235">ifs(and(isblank($A235),isblank($B235)),"", not(iserror(vlookup($A235&amp;$B235,'3) Release_Label'!$D:$D&amp;'3) Release_Label'!$E:$E,1,0))),vlookup($A235&amp;$B235,{'3) Release_Label'!$D:$D&amp;'3) Release_Label'!$E:$E,'3) Release_Label'!$F:$F},2,0),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D235" s="114" t="str">
        <f t="array" ref="D235">ifs(and(isblank($A235),isblank($B235)),"", not(iserror(vlookup($A235&amp;$B235,'3) Release_Label'!$D:$D&amp;'3) Release_Label'!$E:$E,1,0))),vlookup($A235&amp;$B235,{'3) Release_Label'!$D:$D&amp;'3) Release_Label'!$E:$E,'3) Release_Label'!$H:$H},2,0),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E235" s="128" t="str">
        <f t="shared" si="3"/>
        <v/>
      </c>
      <c r="G235" s="93"/>
      <c r="H235" s="133"/>
      <c r="J235" s="20"/>
      <c r="K235" s="94"/>
      <c r="L235" s="20"/>
      <c r="N235" s="20"/>
      <c r="O235" s="20"/>
      <c r="P235" s="20"/>
    </row>
    <row r="236">
      <c r="A236" s="28"/>
      <c r="B236" s="93"/>
      <c r="C236" s="114" t="str">
        <f t="array" ref="C236">ifs(and(isblank($A236),isblank($B236)),"", not(iserror(vlookup($A236&amp;$B236,'3) Release_Label'!$D:$D&amp;'3) Release_Label'!$E:$E,1,0))),vlookup($A236&amp;$B236,{'3) Release_Label'!$D:$D&amp;'3) Release_Label'!$E:$E,'3) Release_Label'!$F:$F},2,0),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D236" s="114" t="str">
        <f t="array" ref="D236">ifs(and(isblank($A236),isblank($B236)),"", not(iserror(vlookup($A236&amp;$B236,'3) Release_Label'!$D:$D&amp;'3) Release_Label'!$E:$E,1,0))),vlookup($A236&amp;$B236,{'3) Release_Label'!$D:$D&amp;'3) Release_Label'!$E:$E,'3) Release_Label'!$H:$H},2,0),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E236" s="128" t="str">
        <f t="shared" si="3"/>
        <v/>
      </c>
      <c r="G236" s="93"/>
      <c r="H236" s="133"/>
      <c r="J236" s="20"/>
      <c r="K236" s="94"/>
      <c r="L236" s="20"/>
      <c r="N236" s="20"/>
      <c r="O236" s="20"/>
      <c r="P236" s="20"/>
    </row>
    <row r="237">
      <c r="A237" s="28"/>
      <c r="B237" s="93"/>
      <c r="C237" s="114" t="str">
        <f t="array" ref="C237">ifs(and(isblank($A237),isblank($B237)),"", not(iserror(vlookup($A237&amp;$B237,'3) Release_Label'!$D:$D&amp;'3) Release_Label'!$E:$E,1,0))),vlookup($A237&amp;$B237,{'3) Release_Label'!$D:$D&amp;'3) Release_Label'!$E:$E,'3) Release_Label'!$F:$F},2,0),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D237" s="114" t="str">
        <f t="array" ref="D237">ifs(and(isblank($A237),isblank($B237)),"", not(iserror(vlookup($A237&amp;$B237,'3) Release_Label'!$D:$D&amp;'3) Release_Label'!$E:$E,1,0))),vlookup($A237&amp;$B237,{'3) Release_Label'!$D:$D&amp;'3) Release_Label'!$E:$E,'3) Release_Label'!$H:$H},2,0),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E237" s="128" t="str">
        <f t="shared" si="3"/>
        <v/>
      </c>
      <c r="G237" s="93"/>
      <c r="H237" s="133"/>
      <c r="J237" s="20"/>
      <c r="K237" s="94"/>
      <c r="L237" s="20"/>
      <c r="N237" s="20"/>
      <c r="O237" s="20"/>
      <c r="P237" s="20"/>
    </row>
    <row r="238">
      <c r="A238" s="28"/>
      <c r="B238" s="93"/>
      <c r="C238" s="114" t="str">
        <f t="array" ref="C238">ifs(and(isblank($A238),isblank($B238)),"", not(iserror(vlookup($A238&amp;$B238,'3) Release_Label'!$D:$D&amp;'3) Release_Label'!$E:$E,1,0))),vlookup($A238&amp;$B238,{'3) Release_Label'!$D:$D&amp;'3) Release_Label'!$E:$E,'3) Release_Label'!$F:$F},2,0),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D238" s="114" t="str">
        <f t="array" ref="D238">ifs(and(isblank($A238),isblank($B238)),"", not(iserror(vlookup($A238&amp;$B238,'3) Release_Label'!$D:$D&amp;'3) Release_Label'!$E:$E,1,0))),vlookup($A238&amp;$B238,{'3) Release_Label'!$D:$D&amp;'3) Release_Label'!$E:$E,'3) Release_Label'!$H:$H},2,0),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E238" s="128" t="str">
        <f t="shared" si="3"/>
        <v/>
      </c>
      <c r="G238" s="93"/>
      <c r="H238" s="133"/>
      <c r="J238" s="20"/>
      <c r="K238" s="94"/>
      <c r="L238" s="20"/>
      <c r="N238" s="20"/>
      <c r="O238" s="20"/>
      <c r="P238" s="20"/>
    </row>
    <row r="239">
      <c r="A239" s="28"/>
      <c r="B239" s="93"/>
      <c r="C239" s="114" t="str">
        <f t="array" ref="C239">ifs(and(isblank($A239),isblank($B239)),"", not(iserror(vlookup($A239&amp;$B239,'3) Release_Label'!$D:$D&amp;'3) Release_Label'!$E:$E,1,0))),vlookup($A239&amp;$B239,{'3) Release_Label'!$D:$D&amp;'3) Release_Label'!$E:$E,'3) Release_Label'!$F:$F},2,0),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D239" s="114" t="str">
        <f t="array" ref="D239">ifs(and(isblank($A239),isblank($B239)),"", not(iserror(vlookup($A239&amp;$B239,'3) Release_Label'!$D:$D&amp;'3) Release_Label'!$E:$E,1,0))),vlookup($A239&amp;$B239,{'3) Release_Label'!$D:$D&amp;'3) Release_Label'!$E:$E,'3) Release_Label'!$H:$H},2,0),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E239" s="128" t="str">
        <f t="shared" si="3"/>
        <v/>
      </c>
      <c r="G239" s="93"/>
      <c r="H239" s="133"/>
      <c r="J239" s="20"/>
      <c r="K239" s="94"/>
      <c r="L239" s="20"/>
      <c r="N239" s="20"/>
      <c r="O239" s="20"/>
      <c r="P239" s="20"/>
    </row>
    <row r="240">
      <c r="A240" s="28"/>
      <c r="B240" s="93"/>
      <c r="C240" s="114" t="str">
        <f t="array" ref="C240">ifs(and(isblank($A240),isblank($B240)),"", not(iserror(vlookup($A240&amp;$B240,'3) Release_Label'!$D:$D&amp;'3) Release_Label'!$E:$E,1,0))),vlookup($A240&amp;$B240,{'3) Release_Label'!$D:$D&amp;'3) Release_Label'!$E:$E,'3) Release_Label'!$F:$F},2,0),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D240" s="114" t="str">
        <f t="array" ref="D240">ifs(and(isblank($A240),isblank($B240)),"", not(iserror(vlookup($A240&amp;$B240,'3) Release_Label'!$D:$D&amp;'3) Release_Label'!$E:$E,1,0))),vlookup($A240&amp;$B240,{'3) Release_Label'!$D:$D&amp;'3) Release_Label'!$E:$E,'3) Release_Label'!$H:$H},2,0),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E240" s="128" t="str">
        <f t="shared" si="3"/>
        <v/>
      </c>
      <c r="G240" s="93"/>
      <c r="H240" s="133"/>
      <c r="J240" s="20"/>
      <c r="K240" s="94"/>
      <c r="L240" s="20"/>
      <c r="N240" s="20"/>
      <c r="O240" s="20"/>
      <c r="P240" s="20"/>
    </row>
    <row r="241">
      <c r="A241" s="28"/>
      <c r="B241" s="93"/>
      <c r="C241" s="114" t="str">
        <f t="array" ref="C241">ifs(and(isblank($A241),isblank($B241)),"", not(iserror(vlookup($A241&amp;$B241,'3) Release_Label'!$D:$D&amp;'3) Release_Label'!$E:$E,1,0))),vlookup($A241&amp;$B241,{'3) Release_Label'!$D:$D&amp;'3) Release_Label'!$E:$E,'3) Release_Label'!$F:$F},2,0),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D241" s="114" t="str">
        <f t="array" ref="D241">ifs(and(isblank($A241),isblank($B241)),"", not(iserror(vlookup($A241&amp;$B241,'3) Release_Label'!$D:$D&amp;'3) Release_Label'!$E:$E,1,0))),vlookup($A241&amp;$B241,{'3) Release_Label'!$D:$D&amp;'3) Release_Label'!$E:$E,'3) Release_Label'!$H:$H},2,0),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E241" s="128" t="str">
        <f t="shared" si="3"/>
        <v/>
      </c>
      <c r="G241" s="93"/>
      <c r="H241" s="133"/>
      <c r="J241" s="20"/>
      <c r="K241" s="94"/>
      <c r="L241" s="20"/>
      <c r="N241" s="20"/>
      <c r="O241" s="20"/>
      <c r="P241" s="20"/>
    </row>
    <row r="242">
      <c r="A242" s="28"/>
      <c r="B242" s="93"/>
      <c r="C242" s="114" t="str">
        <f t="array" ref="C242">ifs(and(isblank($A242),isblank($B242)),"", not(iserror(vlookup($A242&amp;$B242,'3) Release_Label'!$D:$D&amp;'3) Release_Label'!$E:$E,1,0))),vlookup($A242&amp;$B242,{'3) Release_Label'!$D:$D&amp;'3) Release_Label'!$E:$E,'3) Release_Label'!$F:$F},2,0),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D242" s="114" t="str">
        <f t="array" ref="D242">ifs(and(isblank($A242),isblank($B242)),"", not(iserror(vlookup($A242&amp;$B242,'3) Release_Label'!$D:$D&amp;'3) Release_Label'!$E:$E,1,0))),vlookup($A242&amp;$B242,{'3) Release_Label'!$D:$D&amp;'3) Release_Label'!$E:$E,'3) Release_Label'!$H:$H},2,0),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E242" s="128" t="str">
        <f t="shared" si="3"/>
        <v/>
      </c>
      <c r="G242" s="93"/>
      <c r="H242" s="133"/>
      <c r="J242" s="20"/>
      <c r="K242" s="94"/>
      <c r="L242" s="20"/>
      <c r="N242" s="20"/>
      <c r="O242" s="20"/>
      <c r="P242" s="20"/>
    </row>
    <row r="243">
      <c r="A243" s="28"/>
      <c r="B243" s="93"/>
      <c r="C243" s="114" t="str">
        <f t="array" ref="C243">ifs(and(isblank($A243),isblank($B243)),"", not(iserror(vlookup($A243&amp;$B243,'3) Release_Label'!$D:$D&amp;'3) Release_Label'!$E:$E,1,0))),vlookup($A243&amp;$B243,{'3) Release_Label'!$D:$D&amp;'3) Release_Label'!$E:$E,'3) Release_Label'!$F:$F},2,0),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D243" s="114" t="str">
        <f t="array" ref="D243">ifs(and(isblank($A243),isblank($B243)),"", not(iserror(vlookup($A243&amp;$B243,'3) Release_Label'!$D:$D&amp;'3) Release_Label'!$E:$E,1,0))),vlookup($A243&amp;$B243,{'3) Release_Label'!$D:$D&amp;'3) Release_Label'!$E:$E,'3) Release_Label'!$H:$H},2,0),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E243" s="128" t="str">
        <f t="shared" si="3"/>
        <v/>
      </c>
      <c r="G243" s="93"/>
      <c r="H243" s="133"/>
      <c r="J243" s="20"/>
      <c r="K243" s="94"/>
      <c r="L243" s="20"/>
      <c r="N243" s="20"/>
      <c r="O243" s="20"/>
      <c r="P243" s="20"/>
    </row>
    <row r="244">
      <c r="A244" s="28"/>
      <c r="B244" s="93"/>
      <c r="C244" s="114" t="str">
        <f t="array" ref="C244">ifs(and(isblank($A244),isblank($B244)),"", not(iserror(vlookup($A244&amp;$B244,'3) Release_Label'!$D:$D&amp;'3) Release_Label'!$E:$E,1,0))),vlookup($A244&amp;$B244,{'3) Release_Label'!$D:$D&amp;'3) Release_Label'!$E:$E,'3) Release_Label'!$F:$F},2,0),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D244" s="114" t="str">
        <f t="array" ref="D244">ifs(and(isblank($A244),isblank($B244)),"", not(iserror(vlookup($A244&amp;$B244,'3) Release_Label'!$D:$D&amp;'3) Release_Label'!$E:$E,1,0))),vlookup($A244&amp;$B244,{'3) Release_Label'!$D:$D&amp;'3) Release_Label'!$E:$E,'3) Release_Label'!$H:$H},2,0),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E244" s="128" t="str">
        <f t="shared" si="3"/>
        <v/>
      </c>
      <c r="G244" s="93"/>
      <c r="H244" s="133"/>
      <c r="J244" s="20"/>
      <c r="K244" s="94"/>
      <c r="L244" s="20"/>
      <c r="N244" s="20"/>
      <c r="O244" s="20"/>
      <c r="P244" s="20"/>
    </row>
    <row r="245">
      <c r="A245" s="28"/>
      <c r="B245" s="93"/>
      <c r="C245" s="114" t="str">
        <f t="array" ref="C245">ifs(and(isblank($A245),isblank($B245)),"", not(iserror(vlookup($A245&amp;$B245,'3) Release_Label'!$D:$D&amp;'3) Release_Label'!$E:$E,1,0))),vlookup($A245&amp;$B245,{'3) Release_Label'!$D:$D&amp;'3) Release_Label'!$E:$E,'3) Release_Label'!$F:$F},2,0),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D245" s="114" t="str">
        <f t="array" ref="D245">ifs(and(isblank($A245),isblank($B245)),"", not(iserror(vlookup($A245&amp;$B245,'3) Release_Label'!$D:$D&amp;'3) Release_Label'!$E:$E,1,0))),vlookup($A245&amp;$B245,{'3) Release_Label'!$D:$D&amp;'3) Release_Label'!$E:$E,'3) Release_Label'!$H:$H},2,0),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E245" s="128" t="str">
        <f t="shared" si="3"/>
        <v/>
      </c>
      <c r="G245" s="93"/>
      <c r="H245" s="133"/>
      <c r="J245" s="20"/>
      <c r="K245" s="94"/>
      <c r="L245" s="20"/>
      <c r="N245" s="20"/>
      <c r="O245" s="20"/>
      <c r="P245" s="20"/>
    </row>
    <row r="246">
      <c r="A246" s="28"/>
      <c r="B246" s="93"/>
      <c r="C246" s="114" t="str">
        <f t="array" ref="C246">ifs(and(isblank($A246),isblank($B246)),"", not(iserror(vlookup($A246&amp;$B246,'3) Release_Label'!$D:$D&amp;'3) Release_Label'!$E:$E,1,0))),vlookup($A246&amp;$B246,{'3) Release_Label'!$D:$D&amp;'3) Release_Label'!$E:$E,'3) Release_Label'!$F:$F},2,0),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D246" s="114" t="str">
        <f t="array" ref="D246">ifs(and(isblank($A246),isblank($B246)),"", not(iserror(vlookup($A246&amp;$B246,'3) Release_Label'!$D:$D&amp;'3) Release_Label'!$E:$E,1,0))),vlookup($A246&amp;$B246,{'3) Release_Label'!$D:$D&amp;'3) Release_Label'!$E:$E,'3) Release_Label'!$H:$H},2,0),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E246" s="128" t="str">
        <f t="shared" si="3"/>
        <v/>
      </c>
      <c r="G246" s="93"/>
      <c r="H246" s="133"/>
      <c r="J246" s="20"/>
      <c r="K246" s="94"/>
      <c r="L246" s="20"/>
      <c r="N246" s="20"/>
      <c r="O246" s="20"/>
      <c r="P246" s="20"/>
    </row>
    <row r="247">
      <c r="A247" s="28"/>
      <c r="B247" s="93"/>
      <c r="C247" s="114" t="str">
        <f t="array" ref="C247">ifs(and(isblank($A247),isblank($B247)),"", not(iserror(vlookup($A247&amp;$B247,'3) Release_Label'!$D:$D&amp;'3) Release_Label'!$E:$E,1,0))),vlookup($A247&amp;$B247,{'3) Release_Label'!$D:$D&amp;'3) Release_Label'!$E:$E,'3) Release_Label'!$F:$F},2,0),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D247" s="114" t="str">
        <f t="array" ref="D247">ifs(and(isblank($A247),isblank($B247)),"", not(iserror(vlookup($A247&amp;$B247,'3) Release_Label'!$D:$D&amp;'3) Release_Label'!$E:$E,1,0))),vlookup($A247&amp;$B247,{'3) Release_Label'!$D:$D&amp;'3) Release_Label'!$E:$E,'3) Release_Label'!$H:$H},2,0),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E247" s="128" t="str">
        <f t="shared" si="3"/>
        <v/>
      </c>
      <c r="G247" s="93"/>
      <c r="H247" s="133"/>
      <c r="J247" s="20"/>
      <c r="K247" s="94"/>
      <c r="L247" s="20"/>
      <c r="N247" s="20"/>
      <c r="O247" s="20"/>
      <c r="P247" s="20"/>
    </row>
    <row r="248">
      <c r="A248" s="28"/>
      <c r="B248" s="93"/>
      <c r="C248" s="114" t="str">
        <f t="array" ref="C248">ifs(and(isblank($A248),isblank($B248)),"", not(iserror(vlookup($A248&amp;$B248,'3) Release_Label'!$D:$D&amp;'3) Release_Label'!$E:$E,1,0))),vlookup($A248&amp;$B248,{'3) Release_Label'!$D:$D&amp;'3) Release_Label'!$E:$E,'3) Release_Label'!$F:$F},2,0),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D248" s="114" t="str">
        <f t="array" ref="D248">ifs(and(isblank($A248),isblank($B248)),"", not(iserror(vlookup($A248&amp;$B248,'3) Release_Label'!$D:$D&amp;'3) Release_Label'!$E:$E,1,0))),vlookup($A248&amp;$B248,{'3) Release_Label'!$D:$D&amp;'3) Release_Label'!$E:$E,'3) Release_Label'!$H:$H},2,0),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E248" s="128" t="str">
        <f t="shared" si="3"/>
        <v/>
      </c>
      <c r="G248" s="93"/>
      <c r="H248" s="133"/>
      <c r="J248" s="20"/>
      <c r="K248" s="94"/>
      <c r="L248" s="20"/>
      <c r="N248" s="20"/>
      <c r="O248" s="20"/>
      <c r="P248" s="20"/>
    </row>
    <row r="249">
      <c r="A249" s="28"/>
      <c r="B249" s="93"/>
      <c r="C249" s="114" t="str">
        <f t="array" ref="C249">ifs(and(isblank($A249),isblank($B249)),"", not(iserror(vlookup($A249&amp;$B249,'3) Release_Label'!$D:$D&amp;'3) Release_Label'!$E:$E,1,0))),vlookup($A249&amp;$B249,{'3) Release_Label'!$D:$D&amp;'3) Release_Label'!$E:$E,'3) Release_Label'!$F:$F},2,0),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D249" s="114" t="str">
        <f t="array" ref="D249">ifs(and(isblank($A249),isblank($B249)),"", not(iserror(vlookup($A249&amp;$B249,'3) Release_Label'!$D:$D&amp;'3) Release_Label'!$E:$E,1,0))),vlookup($A249&amp;$B249,{'3) Release_Label'!$D:$D&amp;'3) Release_Label'!$E:$E,'3) Release_Label'!$H:$H},2,0),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E249" s="128" t="str">
        <f t="shared" si="3"/>
        <v/>
      </c>
      <c r="G249" s="93"/>
      <c r="H249" s="133"/>
      <c r="J249" s="20"/>
      <c r="K249" s="94"/>
      <c r="L249" s="20"/>
      <c r="N249" s="20"/>
      <c r="O249" s="20"/>
      <c r="P249" s="20"/>
    </row>
    <row r="250">
      <c r="A250" s="28"/>
      <c r="B250" s="93"/>
      <c r="C250" s="114" t="str">
        <f t="array" ref="C250">ifs(and(isblank($A250),isblank($B250)),"", not(iserror(vlookup($A250&amp;$B250,'3) Release_Label'!$D:$D&amp;'3) Release_Label'!$E:$E,1,0))),vlookup($A250&amp;$B250,{'3) Release_Label'!$D:$D&amp;'3) Release_Label'!$E:$E,'3) Release_Label'!$F:$F},2,0),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D250" s="114" t="str">
        <f t="array" ref="D250">ifs(and(isblank($A250),isblank($B250)),"", not(iserror(vlookup($A250&amp;$B250,'3) Release_Label'!$D:$D&amp;'3) Release_Label'!$E:$E,1,0))),vlookup($A250&amp;$B250,{'3) Release_Label'!$D:$D&amp;'3) Release_Label'!$E:$E,'3) Release_Label'!$H:$H},2,0),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E250" s="128" t="str">
        <f t="shared" si="3"/>
        <v/>
      </c>
      <c r="G250" s="93"/>
      <c r="H250" s="133"/>
      <c r="J250" s="20"/>
      <c r="K250" s="94"/>
      <c r="L250" s="20"/>
      <c r="N250" s="20"/>
      <c r="O250" s="20"/>
      <c r="P250" s="20"/>
    </row>
    <row r="251">
      <c r="A251" s="28"/>
      <c r="B251" s="93"/>
      <c r="C251" s="114" t="str">
        <f t="array" ref="C251">ifs(and(isblank($A251),isblank($B251)),"", not(iserror(vlookup($A251&amp;$B251,'3) Release_Label'!$D:$D&amp;'3) Release_Label'!$E:$E,1,0))),vlookup($A251&amp;$B251,{'3) Release_Label'!$D:$D&amp;'3) Release_Label'!$E:$E,'3) Release_Label'!$F:$F},2,0),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D251" s="114" t="str">
        <f t="array" ref="D251">ifs(and(isblank($A251),isblank($B251)),"", not(iserror(vlookup($A251&amp;$B251,'3) Release_Label'!$D:$D&amp;'3) Release_Label'!$E:$E,1,0))),vlookup($A251&amp;$B251,{'3) Release_Label'!$D:$D&amp;'3) Release_Label'!$E:$E,'3) Release_Label'!$H:$H},2,0),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E251" s="128" t="str">
        <f t="shared" si="3"/>
        <v/>
      </c>
      <c r="G251" s="93"/>
      <c r="H251" s="133"/>
      <c r="J251" s="20"/>
      <c r="K251" s="94"/>
      <c r="L251" s="20"/>
      <c r="N251" s="20"/>
      <c r="O251" s="20"/>
      <c r="P251" s="20"/>
    </row>
    <row r="252">
      <c r="A252" s="28"/>
      <c r="B252" s="93"/>
      <c r="C252" s="114" t="str">
        <f t="array" ref="C252">ifs(and(isblank($A252),isblank($B252)),"", not(iserror(vlookup($A252&amp;$B252,'3) Release_Label'!$D:$D&amp;'3) Release_Label'!$E:$E,1,0))),vlookup($A252&amp;$B252,{'3) Release_Label'!$D:$D&amp;'3) Release_Label'!$E:$E,'3) Release_Label'!$F:$F},2,0),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D252" s="114" t="str">
        <f t="array" ref="D252">ifs(and(isblank($A252),isblank($B252)),"", not(iserror(vlookup($A252&amp;$B252,'3) Release_Label'!$D:$D&amp;'3) Release_Label'!$E:$E,1,0))),vlookup($A252&amp;$B252,{'3) Release_Label'!$D:$D&amp;'3) Release_Label'!$E:$E,'3) Release_Label'!$H:$H},2,0),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E252" s="128" t="str">
        <f t="shared" si="3"/>
        <v/>
      </c>
      <c r="G252" s="93"/>
      <c r="H252" s="133"/>
      <c r="J252" s="20"/>
      <c r="K252" s="94"/>
      <c r="L252" s="20"/>
      <c r="N252" s="20"/>
      <c r="O252" s="20"/>
      <c r="P252" s="20"/>
    </row>
    <row r="253">
      <c r="A253" s="28"/>
      <c r="B253" s="93"/>
      <c r="C253" s="114" t="str">
        <f t="array" ref="C253">ifs(and(isblank($A253),isblank($B253)),"", not(iserror(vlookup($A253&amp;$B253,'3) Release_Label'!$D:$D&amp;'3) Release_Label'!$E:$E,1,0))),vlookup($A253&amp;$B253,{'3) Release_Label'!$D:$D&amp;'3) Release_Label'!$E:$E,'3) Release_Label'!$F:$F},2,0),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D253" s="114" t="str">
        <f t="array" ref="D253">ifs(and(isblank($A253),isblank($B253)),"", not(iserror(vlookup($A253&amp;$B253,'3) Release_Label'!$D:$D&amp;'3) Release_Label'!$E:$E,1,0))),vlookup($A253&amp;$B253,{'3) Release_Label'!$D:$D&amp;'3) Release_Label'!$E:$E,'3) Release_Label'!$H:$H},2,0),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E253" s="128" t="str">
        <f t="shared" si="3"/>
        <v/>
      </c>
      <c r="G253" s="93"/>
      <c r="H253" s="133"/>
      <c r="J253" s="20"/>
      <c r="K253" s="94"/>
      <c r="L253" s="20"/>
      <c r="N253" s="20"/>
      <c r="O253" s="20"/>
      <c r="P253" s="20"/>
    </row>
    <row r="254">
      <c r="A254" s="28"/>
      <c r="B254" s="93"/>
      <c r="C254" s="114" t="str">
        <f t="array" ref="C254">ifs(and(isblank($A254),isblank($B254)),"", not(iserror(vlookup($A254&amp;$B254,'3) Release_Label'!$D:$D&amp;'3) Release_Label'!$E:$E,1,0))),vlookup($A254&amp;$B254,{'3) Release_Label'!$D:$D&amp;'3) Release_Label'!$E:$E,'3) Release_Label'!$F:$F},2,0),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D254" s="114" t="str">
        <f t="array" ref="D254">ifs(and(isblank($A254),isblank($B254)),"", not(iserror(vlookup($A254&amp;$B254,'3) Release_Label'!$D:$D&amp;'3) Release_Label'!$E:$E,1,0))),vlookup($A254&amp;$B254,{'3) Release_Label'!$D:$D&amp;'3) Release_Label'!$E:$E,'3) Release_Label'!$H:$H},2,0),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E254" s="128" t="str">
        <f t="shared" si="3"/>
        <v/>
      </c>
      <c r="G254" s="93"/>
      <c r="H254" s="133"/>
      <c r="J254" s="20"/>
      <c r="K254" s="94"/>
      <c r="L254" s="20"/>
      <c r="N254" s="20"/>
      <c r="O254" s="20"/>
      <c r="P254" s="20"/>
    </row>
    <row r="255">
      <c r="A255" s="28"/>
      <c r="B255" s="93"/>
      <c r="C255" s="114" t="str">
        <f t="array" ref="C255">ifs(and(isblank($A255),isblank($B255)),"", not(iserror(vlookup($A255&amp;$B255,'3) Release_Label'!$D:$D&amp;'3) Release_Label'!$E:$E,1,0))),vlookup($A255&amp;$B255,{'3) Release_Label'!$D:$D&amp;'3) Release_Label'!$E:$E,'3) Release_Label'!$F:$F},2,0),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D255" s="114" t="str">
        <f t="array" ref="D255">ifs(and(isblank($A255),isblank($B255)),"", not(iserror(vlookup($A255&amp;$B255,'3) Release_Label'!$D:$D&amp;'3) Release_Label'!$E:$E,1,0))),vlookup($A255&amp;$B255,{'3) Release_Label'!$D:$D&amp;'3) Release_Label'!$E:$E,'3) Release_Label'!$H:$H},2,0),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E255" s="128" t="str">
        <f t="shared" si="3"/>
        <v/>
      </c>
      <c r="G255" s="93"/>
      <c r="H255" s="133"/>
      <c r="J255" s="20"/>
      <c r="K255" s="94"/>
      <c r="L255" s="20"/>
      <c r="N255" s="20"/>
      <c r="O255" s="20"/>
      <c r="P255" s="20"/>
    </row>
    <row r="256">
      <c r="A256" s="28"/>
      <c r="B256" s="93"/>
      <c r="C256" s="114" t="str">
        <f t="array" ref="C256">ifs(and(isblank($A256),isblank($B256)),"", not(iserror(vlookup($A256&amp;$B256,'3) Release_Label'!$D:$D&amp;'3) Release_Label'!$E:$E,1,0))),vlookup($A256&amp;$B256,{'3) Release_Label'!$D:$D&amp;'3) Release_Label'!$E:$E,'3) Release_Label'!$F:$F},2,0),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D256" s="114" t="str">
        <f t="array" ref="D256">ifs(and(isblank($A256),isblank($B256)),"", not(iserror(vlookup($A256&amp;$B256,'3) Release_Label'!$D:$D&amp;'3) Release_Label'!$E:$E,1,0))),vlookup($A256&amp;$B256,{'3) Release_Label'!$D:$D&amp;'3) Release_Label'!$E:$E,'3) Release_Label'!$H:$H},2,0),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E256" s="128" t="str">
        <f t="shared" si="3"/>
        <v/>
      </c>
      <c r="G256" s="93"/>
      <c r="H256" s="133"/>
      <c r="J256" s="20"/>
      <c r="K256" s="94"/>
      <c r="L256" s="20"/>
      <c r="N256" s="20"/>
      <c r="O256" s="20"/>
      <c r="P256" s="20"/>
    </row>
    <row r="257">
      <c r="A257" s="28"/>
      <c r="B257" s="93"/>
      <c r="C257" s="114" t="str">
        <f t="array" ref="C257">ifs(and(isblank($A257),isblank($B257)),"", not(iserror(vlookup($A257&amp;$B257,'3) Release_Label'!$D:$D&amp;'3) Release_Label'!$E:$E,1,0))),vlookup($A257&amp;$B257,{'3) Release_Label'!$D:$D&amp;'3) Release_Label'!$E:$E,'3) Release_Label'!$F:$F},2,0),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D257" s="114" t="str">
        <f t="array" ref="D257">ifs(and(isblank($A257),isblank($B257)),"", not(iserror(vlookup($A257&amp;$B257,'3) Release_Label'!$D:$D&amp;'3) Release_Label'!$E:$E,1,0))),vlookup($A257&amp;$B257,{'3) Release_Label'!$D:$D&amp;'3) Release_Label'!$E:$E,'3) Release_Label'!$H:$H},2,0),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E257" s="128" t="str">
        <f t="shared" si="3"/>
        <v/>
      </c>
      <c r="G257" s="93"/>
      <c r="H257" s="133"/>
      <c r="J257" s="20"/>
      <c r="K257" s="94"/>
      <c r="L257" s="20"/>
      <c r="N257" s="20"/>
      <c r="O257" s="20"/>
      <c r="P257" s="20"/>
    </row>
    <row r="258">
      <c r="A258" s="28"/>
      <c r="B258" s="93"/>
      <c r="C258" s="114" t="str">
        <f t="array" ref="C258">ifs(and(isblank($A258),isblank($B258)),"", not(iserror(vlookup($A258&amp;$B258,'3) Release_Label'!$D:$D&amp;'3) Release_Label'!$E:$E,1,0))),vlookup($A258&amp;$B258,{'3) Release_Label'!$D:$D&amp;'3) Release_Label'!$E:$E,'3) Release_Label'!$F:$F},2,0),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D258" s="114" t="str">
        <f t="array" ref="D258">ifs(and(isblank($A258),isblank($B258)),"", not(iserror(vlookup($A258&amp;$B258,'3) Release_Label'!$D:$D&amp;'3) Release_Label'!$E:$E,1,0))),vlookup($A258&amp;$B258,{'3) Release_Label'!$D:$D&amp;'3) Release_Label'!$E:$E,'3) Release_Label'!$H:$H},2,0),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E258" s="128" t="str">
        <f t="shared" si="3"/>
        <v/>
      </c>
      <c r="G258" s="93"/>
      <c r="H258" s="133"/>
      <c r="J258" s="20"/>
      <c r="K258" s="94"/>
      <c r="L258" s="20"/>
      <c r="N258" s="20"/>
      <c r="O258" s="20"/>
      <c r="P258" s="20"/>
    </row>
    <row r="259">
      <c r="A259" s="28"/>
      <c r="B259" s="93"/>
      <c r="C259" s="114" t="str">
        <f t="array" ref="C259">ifs(and(isblank($A259),isblank($B259)),"", not(iserror(vlookup($A259&amp;$B259,'3) Release_Label'!$D:$D&amp;'3) Release_Label'!$E:$E,1,0))),vlookup($A259&amp;$B259,{'3) Release_Label'!$D:$D&amp;'3) Release_Label'!$E:$E,'3) Release_Label'!$F:$F},2,0),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D259" s="114" t="str">
        <f t="array" ref="D259">ifs(and(isblank($A259),isblank($B259)),"", not(iserror(vlookup($A259&amp;$B259,'3) Release_Label'!$D:$D&amp;'3) Release_Label'!$E:$E,1,0))),vlookup($A259&amp;$B259,{'3) Release_Label'!$D:$D&amp;'3) Release_Label'!$E:$E,'3) Release_Label'!$H:$H},2,0),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E259" s="128" t="str">
        <f t="shared" si="3"/>
        <v/>
      </c>
      <c r="G259" s="93"/>
      <c r="H259" s="133"/>
      <c r="J259" s="20"/>
      <c r="K259" s="94"/>
      <c r="L259" s="20"/>
      <c r="N259" s="20"/>
      <c r="O259" s="20"/>
      <c r="P259" s="20"/>
    </row>
    <row r="260">
      <c r="A260" s="28"/>
      <c r="B260" s="93"/>
      <c r="C260" s="114" t="str">
        <f t="array" ref="C260">ifs(and(isblank($A260),isblank($B260)),"", not(iserror(vlookup($A260&amp;$B260,'3) Release_Label'!$D:$D&amp;'3) Release_Label'!$E:$E,1,0))),vlookup($A260&amp;$B260,{'3) Release_Label'!$D:$D&amp;'3) Release_Label'!$E:$E,'3) Release_Label'!$F:$F},2,0),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D260" s="114" t="str">
        <f t="array" ref="D260">ifs(and(isblank($A260),isblank($B260)),"", not(iserror(vlookup($A260&amp;$B260,'3) Release_Label'!$D:$D&amp;'3) Release_Label'!$E:$E,1,0))),vlookup($A260&amp;$B260,{'3) Release_Label'!$D:$D&amp;'3) Release_Label'!$E:$E,'3) Release_Label'!$H:$H},2,0),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E260" s="128" t="str">
        <f t="shared" si="3"/>
        <v/>
      </c>
      <c r="G260" s="93"/>
      <c r="H260" s="133"/>
      <c r="J260" s="20"/>
      <c r="K260" s="94"/>
      <c r="L260" s="20"/>
      <c r="N260" s="20"/>
      <c r="O260" s="20"/>
      <c r="P260" s="20"/>
    </row>
    <row r="261">
      <c r="A261" s="28"/>
      <c r="B261" s="93"/>
      <c r="C261" s="114" t="str">
        <f t="array" ref="C261">ifs(and(isblank($A261),isblank($B261)),"", not(iserror(vlookup($A261&amp;$B261,'3) Release_Label'!$D:$D&amp;'3) Release_Label'!$E:$E,1,0))),vlookup($A261&amp;$B261,{'3) Release_Label'!$D:$D&amp;'3) Release_Label'!$E:$E,'3) Release_Label'!$F:$F},2,0),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D261" s="114" t="str">
        <f t="array" ref="D261">ifs(and(isblank($A261),isblank($B261)),"", not(iserror(vlookup($A261&amp;$B261,'3) Release_Label'!$D:$D&amp;'3) Release_Label'!$E:$E,1,0))),vlookup($A261&amp;$B261,{'3) Release_Label'!$D:$D&amp;'3) Release_Label'!$E:$E,'3) Release_Label'!$H:$H},2,0),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E261" s="128" t="str">
        <f t="shared" si="3"/>
        <v/>
      </c>
      <c r="G261" s="93"/>
      <c r="H261" s="133"/>
      <c r="J261" s="20"/>
      <c r="K261" s="94"/>
      <c r="L261" s="20"/>
      <c r="N261" s="20"/>
      <c r="O261" s="20"/>
      <c r="P261" s="20"/>
    </row>
    <row r="262">
      <c r="A262" s="28"/>
      <c r="B262" s="93"/>
      <c r="C262" s="114" t="str">
        <f t="array" ref="C262">ifs(and(isblank($A262),isblank($B262)),"", not(iserror(vlookup($A262&amp;$B262,'3) Release_Label'!$D:$D&amp;'3) Release_Label'!$E:$E,1,0))),vlookup($A262&amp;$B262,{'3) Release_Label'!$D:$D&amp;'3) Release_Label'!$E:$E,'3) Release_Label'!$F:$F},2,0),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D262" s="114" t="str">
        <f t="array" ref="D262">ifs(and(isblank($A262),isblank($B262)),"", not(iserror(vlookup($A262&amp;$B262,'3) Release_Label'!$D:$D&amp;'3) Release_Label'!$E:$E,1,0))),vlookup($A262&amp;$B262,{'3) Release_Label'!$D:$D&amp;'3) Release_Label'!$E:$E,'3) Release_Label'!$H:$H},2,0),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E262" s="128" t="str">
        <f t="shared" si="3"/>
        <v/>
      </c>
      <c r="G262" s="93"/>
      <c r="H262" s="133"/>
      <c r="J262" s="20"/>
      <c r="K262" s="94"/>
      <c r="L262" s="20"/>
      <c r="N262" s="20"/>
      <c r="O262" s="20"/>
      <c r="P262" s="20"/>
    </row>
    <row r="263">
      <c r="A263" s="28"/>
      <c r="B263" s="93"/>
      <c r="C263" s="114" t="str">
        <f t="array" ref="C263">ifs(and(isblank($A263),isblank($B263)),"", not(iserror(vlookup($A263&amp;$B263,'3) Release_Label'!$D:$D&amp;'3) Release_Label'!$E:$E,1,0))),vlookup($A263&amp;$B263,{'3) Release_Label'!$D:$D&amp;'3) Release_Label'!$E:$E,'3) Release_Label'!$F:$F},2,0),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D263" s="114" t="str">
        <f t="array" ref="D263">ifs(and(isblank($A263),isblank($B263)),"", not(iserror(vlookup($A263&amp;$B263,'3) Release_Label'!$D:$D&amp;'3) Release_Label'!$E:$E,1,0))),vlookup($A263&amp;$B263,{'3) Release_Label'!$D:$D&amp;'3) Release_Label'!$E:$E,'3) Release_Label'!$H:$H},2,0),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E263" s="128" t="str">
        <f t="shared" si="3"/>
        <v/>
      </c>
      <c r="G263" s="93"/>
      <c r="H263" s="133"/>
      <c r="J263" s="20"/>
      <c r="K263" s="94"/>
      <c r="L263" s="20"/>
      <c r="N263" s="20"/>
      <c r="O263" s="20"/>
      <c r="P263" s="20"/>
    </row>
    <row r="264">
      <c r="A264" s="28"/>
      <c r="B264" s="93"/>
      <c r="C264" s="114" t="str">
        <f t="array" ref="C264">ifs(and(isblank($A264),isblank($B264)),"", not(iserror(vlookup($A264&amp;$B264,'3) Release_Label'!$D:$D&amp;'3) Release_Label'!$E:$E,1,0))),vlookup($A264&amp;$B264,{'3) Release_Label'!$D:$D&amp;'3) Release_Label'!$E:$E,'3) Release_Label'!$F:$F},2,0),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D264" s="114" t="str">
        <f t="array" ref="D264">ifs(and(isblank($A264),isblank($B264)),"", not(iserror(vlookup($A264&amp;$B264,'3) Release_Label'!$D:$D&amp;'3) Release_Label'!$E:$E,1,0))),vlookup($A264&amp;$B264,{'3) Release_Label'!$D:$D&amp;'3) Release_Label'!$E:$E,'3) Release_Label'!$H:$H},2,0),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E264" s="128" t="str">
        <f t="shared" si="3"/>
        <v/>
      </c>
      <c r="G264" s="93"/>
      <c r="H264" s="133"/>
      <c r="J264" s="20"/>
      <c r="K264" s="94"/>
      <c r="L264" s="20"/>
      <c r="N264" s="20"/>
      <c r="O264" s="20"/>
      <c r="P264" s="20"/>
    </row>
    <row r="265">
      <c r="A265" s="28"/>
      <c r="B265" s="93"/>
      <c r="C265" s="114" t="str">
        <f t="array" ref="C265">ifs(and(isblank($A265),isblank($B265)),"", not(iserror(vlookup($A265&amp;$B265,'3) Release_Label'!$D:$D&amp;'3) Release_Label'!$E:$E,1,0))),vlookup($A265&amp;$B265,{'3) Release_Label'!$D:$D&amp;'3) Release_Label'!$E:$E,'3) Release_Label'!$F:$F},2,0),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D265" s="114" t="str">
        <f t="array" ref="D265">ifs(and(isblank($A265),isblank($B265)),"", not(iserror(vlookup($A265&amp;$B265,'3) Release_Label'!$D:$D&amp;'3) Release_Label'!$E:$E,1,0))),vlookup($A265&amp;$B265,{'3) Release_Label'!$D:$D&amp;'3) Release_Label'!$E:$E,'3) Release_Label'!$H:$H},2,0),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E265" s="128" t="str">
        <f t="shared" si="3"/>
        <v/>
      </c>
      <c r="G265" s="93"/>
      <c r="H265" s="133"/>
      <c r="J265" s="20"/>
      <c r="K265" s="94"/>
      <c r="L265" s="20"/>
      <c r="N265" s="20"/>
      <c r="O265" s="20"/>
      <c r="P265" s="20"/>
    </row>
    <row r="266">
      <c r="A266" s="28"/>
      <c r="B266" s="93"/>
      <c r="C266" s="114" t="str">
        <f t="array" ref="C266">ifs(and(isblank($A266),isblank($B266)),"", not(iserror(vlookup($A266&amp;$B266,'3) Release_Label'!$D:$D&amp;'3) Release_Label'!$E:$E,1,0))),vlookup($A266&amp;$B266,{'3) Release_Label'!$D:$D&amp;'3) Release_Label'!$E:$E,'3) Release_Label'!$F:$F},2,0),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D266" s="114" t="str">
        <f t="array" ref="D266">ifs(and(isblank($A266),isblank($B266)),"", not(iserror(vlookup($A266&amp;$B266,'3) Release_Label'!$D:$D&amp;'3) Release_Label'!$E:$E,1,0))),vlookup($A266&amp;$B266,{'3) Release_Label'!$D:$D&amp;'3) Release_Label'!$E:$E,'3) Release_Label'!$H:$H},2,0),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E266" s="128" t="str">
        <f t="shared" si="3"/>
        <v/>
      </c>
      <c r="G266" s="93"/>
      <c r="H266" s="133"/>
      <c r="J266" s="20"/>
      <c r="K266" s="94"/>
      <c r="L266" s="20"/>
      <c r="N266" s="20"/>
      <c r="O266" s="20"/>
      <c r="P266" s="20"/>
    </row>
    <row r="267">
      <c r="A267" s="28"/>
      <c r="B267" s="93"/>
      <c r="C267" s="114" t="str">
        <f t="array" ref="C267">ifs(and(isblank($A267),isblank($B267)),"", not(iserror(vlookup($A267&amp;$B267,'3) Release_Label'!$D:$D&amp;'3) Release_Label'!$E:$E,1,0))),vlookup($A267&amp;$B267,{'3) Release_Label'!$D:$D&amp;'3) Release_Label'!$E:$E,'3) Release_Label'!$F:$F},2,0),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D267" s="114" t="str">
        <f t="array" ref="D267">ifs(and(isblank($A267),isblank($B267)),"", not(iserror(vlookup($A267&amp;$B267,'3) Release_Label'!$D:$D&amp;'3) Release_Label'!$E:$E,1,0))),vlookup($A267&amp;$B267,{'3) Release_Label'!$D:$D&amp;'3) Release_Label'!$E:$E,'3) Release_Label'!$H:$H},2,0),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E267" s="128" t="str">
        <f t="shared" si="3"/>
        <v/>
      </c>
      <c r="G267" s="93"/>
      <c r="H267" s="133"/>
      <c r="J267" s="20"/>
      <c r="K267" s="94"/>
      <c r="L267" s="20"/>
      <c r="N267" s="20"/>
      <c r="O267" s="20"/>
      <c r="P267" s="20"/>
    </row>
    <row r="268">
      <c r="A268" s="28"/>
      <c r="B268" s="93"/>
      <c r="C268" s="114" t="str">
        <f t="array" ref="C268">ifs(and(isblank($A268),isblank($B268)),"", not(iserror(vlookup($A268&amp;$B268,'3) Release_Label'!$D:$D&amp;'3) Release_Label'!$E:$E,1,0))),vlookup($A268&amp;$B268,{'3) Release_Label'!$D:$D&amp;'3) Release_Label'!$E:$E,'3) Release_Label'!$F:$F},2,0),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D268" s="114" t="str">
        <f t="array" ref="D268">ifs(and(isblank($A268),isblank($B268)),"", not(iserror(vlookup($A268&amp;$B268,'3) Release_Label'!$D:$D&amp;'3) Release_Label'!$E:$E,1,0))),vlookup($A268&amp;$B268,{'3) Release_Label'!$D:$D&amp;'3) Release_Label'!$E:$E,'3) Release_Label'!$H:$H},2,0),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E268" s="128" t="str">
        <f t="shared" si="3"/>
        <v/>
      </c>
      <c r="G268" s="93"/>
      <c r="H268" s="133"/>
      <c r="J268" s="20"/>
      <c r="K268" s="94"/>
      <c r="L268" s="20"/>
      <c r="N268" s="20"/>
      <c r="O268" s="20"/>
      <c r="P268" s="20"/>
    </row>
    <row r="269">
      <c r="A269" s="28"/>
      <c r="B269" s="93"/>
      <c r="C269" s="114" t="str">
        <f t="array" ref="C269">ifs(and(isblank($A269),isblank($B269)),"", not(iserror(vlookup($A269&amp;$B269,'3) Release_Label'!$D:$D&amp;'3) Release_Label'!$E:$E,1,0))),vlookup($A269&amp;$B269,{'3) Release_Label'!$D:$D&amp;'3) Release_Label'!$E:$E,'3) Release_Label'!$F:$F},2,0),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D269" s="114" t="str">
        <f t="array" ref="D269">ifs(and(isblank($A269),isblank($B269)),"", not(iserror(vlookup($A269&amp;$B269,'3) Release_Label'!$D:$D&amp;'3) Release_Label'!$E:$E,1,0))),vlookup($A269&amp;$B269,{'3) Release_Label'!$D:$D&amp;'3) Release_Label'!$E:$E,'3) Release_Label'!$H:$H},2,0),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E269" s="128" t="str">
        <f t="shared" si="3"/>
        <v/>
      </c>
      <c r="G269" s="93"/>
      <c r="H269" s="133"/>
      <c r="J269" s="20"/>
      <c r="K269" s="94"/>
      <c r="L269" s="20"/>
      <c r="N269" s="20"/>
      <c r="O269" s="20"/>
      <c r="P269" s="20"/>
    </row>
    <row r="270">
      <c r="A270" s="28"/>
      <c r="B270" s="93"/>
      <c r="C270" s="114" t="str">
        <f t="array" ref="C270">ifs(and(isblank($A270),isblank($B270)),"", not(iserror(vlookup($A270&amp;$B270,'3) Release_Label'!$D:$D&amp;'3) Release_Label'!$E:$E,1,0))),vlookup($A270&amp;$B270,{'3) Release_Label'!$D:$D&amp;'3) Release_Label'!$E:$E,'3) Release_Label'!$F:$F},2,0),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D270" s="114" t="str">
        <f t="array" ref="D270">ifs(and(isblank($A270),isblank($B270)),"", not(iserror(vlookup($A270&amp;$B270,'3) Release_Label'!$D:$D&amp;'3) Release_Label'!$E:$E,1,0))),vlookup($A270&amp;$B270,{'3) Release_Label'!$D:$D&amp;'3) Release_Label'!$E:$E,'3) Release_Label'!$H:$H},2,0),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E270" s="128" t="str">
        <f t="shared" si="3"/>
        <v/>
      </c>
      <c r="G270" s="93"/>
      <c r="H270" s="133"/>
      <c r="J270" s="20"/>
      <c r="K270" s="94"/>
      <c r="L270" s="20"/>
      <c r="N270" s="20"/>
      <c r="O270" s="20"/>
      <c r="P270" s="20"/>
    </row>
    <row r="271">
      <c r="A271" s="28"/>
      <c r="B271" s="93"/>
      <c r="C271" s="114" t="str">
        <f t="array" ref="C271">ifs(and(isblank($A271),isblank($B271)),"", not(iserror(vlookup($A271&amp;$B271,'3) Release_Label'!$D:$D&amp;'3) Release_Label'!$E:$E,1,0))),vlookup($A271&amp;$B271,{'3) Release_Label'!$D:$D&amp;'3) Release_Label'!$E:$E,'3) Release_Label'!$F:$F},2,0),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D271" s="114" t="str">
        <f t="array" ref="D271">ifs(and(isblank($A271),isblank($B271)),"", not(iserror(vlookup($A271&amp;$B271,'3) Release_Label'!$D:$D&amp;'3) Release_Label'!$E:$E,1,0))),vlookup($A271&amp;$B271,{'3) Release_Label'!$D:$D&amp;'3) Release_Label'!$E:$E,'3) Release_Label'!$H:$H},2,0),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E271" s="128" t="str">
        <f t="shared" si="3"/>
        <v/>
      </c>
      <c r="G271" s="93"/>
      <c r="H271" s="133"/>
      <c r="J271" s="20"/>
      <c r="K271" s="94"/>
      <c r="L271" s="20"/>
      <c r="N271" s="20"/>
      <c r="O271" s="20"/>
      <c r="P271" s="20"/>
    </row>
    <row r="272">
      <c r="A272" s="28"/>
      <c r="B272" s="93"/>
      <c r="C272" s="114" t="str">
        <f t="array" ref="C272">ifs(and(isblank($A272),isblank($B272)),"", not(iserror(vlookup($A272&amp;$B272,'3) Release_Label'!$D:$D&amp;'3) Release_Label'!$E:$E,1,0))),vlookup($A272&amp;$B272,{'3) Release_Label'!$D:$D&amp;'3) Release_Label'!$E:$E,'3) Release_Label'!$F:$F},2,0),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D272" s="114" t="str">
        <f t="array" ref="D272">ifs(and(isblank($A272),isblank($B272)),"", not(iserror(vlookup($A272&amp;$B272,'3) Release_Label'!$D:$D&amp;'3) Release_Label'!$E:$E,1,0))),vlookup($A272&amp;$B272,{'3) Release_Label'!$D:$D&amp;'3) Release_Label'!$E:$E,'3) Release_Label'!$H:$H},2,0),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E272" s="128" t="str">
        <f t="shared" si="3"/>
        <v/>
      </c>
      <c r="G272" s="93"/>
      <c r="H272" s="133"/>
      <c r="J272" s="20"/>
      <c r="K272" s="94"/>
      <c r="L272" s="20"/>
      <c r="N272" s="20"/>
      <c r="O272" s="20"/>
      <c r="P272" s="20"/>
    </row>
    <row r="273">
      <c r="A273" s="28"/>
      <c r="B273" s="93"/>
      <c r="C273" s="114" t="str">
        <f t="array" ref="C273">ifs(and(isblank($A273),isblank($B273)),"", not(iserror(vlookup($A273&amp;$B273,'3) Release_Label'!$D:$D&amp;'3) Release_Label'!$E:$E,1,0))),vlookup($A273&amp;$B273,{'3) Release_Label'!$D:$D&amp;'3) Release_Label'!$E:$E,'3) Release_Label'!$F:$F},2,0),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D273" s="114" t="str">
        <f t="array" ref="D273">ifs(and(isblank($A273),isblank($B273)),"", not(iserror(vlookup($A273&amp;$B273,'3) Release_Label'!$D:$D&amp;'3) Release_Label'!$E:$E,1,0))),vlookup($A273&amp;$B273,{'3) Release_Label'!$D:$D&amp;'3) Release_Label'!$E:$E,'3) Release_Label'!$H:$H},2,0),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E273" s="128" t="str">
        <f t="shared" si="3"/>
        <v/>
      </c>
      <c r="G273" s="93"/>
      <c r="H273" s="133"/>
      <c r="J273" s="20"/>
      <c r="K273" s="94"/>
      <c r="L273" s="20"/>
      <c r="N273" s="20"/>
      <c r="O273" s="20"/>
      <c r="P273" s="20"/>
    </row>
    <row r="274">
      <c r="A274" s="28"/>
      <c r="B274" s="93"/>
      <c r="C274" s="114" t="str">
        <f t="array" ref="C274">ifs(and(isblank($A274),isblank($B274)),"", not(iserror(vlookup($A274&amp;$B274,'3) Release_Label'!$D:$D&amp;'3) Release_Label'!$E:$E,1,0))),vlookup($A274&amp;$B274,{'3) Release_Label'!$D:$D&amp;'3) Release_Label'!$E:$E,'3) Release_Label'!$F:$F},2,0),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D274" s="114" t="str">
        <f t="array" ref="D274">ifs(and(isblank($A274),isblank($B274)),"", not(iserror(vlookup($A274&amp;$B274,'3) Release_Label'!$D:$D&amp;'3) Release_Label'!$E:$E,1,0))),vlookup($A274&amp;$B274,{'3) Release_Label'!$D:$D&amp;'3) Release_Label'!$E:$E,'3) Release_Label'!$H:$H},2,0),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E274" s="128" t="str">
        <f t="shared" si="3"/>
        <v/>
      </c>
      <c r="G274" s="93"/>
      <c r="H274" s="133"/>
      <c r="J274" s="20"/>
      <c r="K274" s="94"/>
      <c r="L274" s="20"/>
      <c r="N274" s="20"/>
      <c r="O274" s="20"/>
      <c r="P274" s="20"/>
    </row>
    <row r="275">
      <c r="A275" s="28"/>
      <c r="B275" s="93"/>
      <c r="C275" s="114" t="str">
        <f t="array" ref="C275">ifs(and(isblank($A275),isblank($B275)),"", not(iserror(vlookup($A275&amp;$B275,'3) Release_Label'!$D:$D&amp;'3) Release_Label'!$E:$E,1,0))),vlookup($A275&amp;$B275,{'3) Release_Label'!$D:$D&amp;'3) Release_Label'!$E:$E,'3) Release_Label'!$F:$F},2,0),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D275" s="114" t="str">
        <f t="array" ref="D275">ifs(and(isblank($A275),isblank($B275)),"", not(iserror(vlookup($A275&amp;$B275,'3) Release_Label'!$D:$D&amp;'3) Release_Label'!$E:$E,1,0))),vlookup($A275&amp;$B275,{'3) Release_Label'!$D:$D&amp;'3) Release_Label'!$E:$E,'3) Release_Label'!$H:$H},2,0),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E275" s="128" t="str">
        <f t="shared" si="3"/>
        <v/>
      </c>
      <c r="G275" s="93"/>
      <c r="H275" s="133"/>
      <c r="J275" s="20"/>
      <c r="K275" s="94"/>
      <c r="L275" s="20"/>
      <c r="N275" s="20"/>
      <c r="O275" s="20"/>
      <c r="P275" s="20"/>
    </row>
    <row r="276">
      <c r="A276" s="28"/>
      <c r="B276" s="93"/>
      <c r="C276" s="114" t="str">
        <f t="array" ref="C276">ifs(and(isblank($A276),isblank($B276)),"", not(iserror(vlookup($A276&amp;$B276,'3) Release_Label'!$D:$D&amp;'3) Release_Label'!$E:$E,1,0))),vlookup($A276&amp;$B276,{'3) Release_Label'!$D:$D&amp;'3) Release_Label'!$E:$E,'3) Release_Label'!$F:$F},2,0),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D276" s="114" t="str">
        <f t="array" ref="D276">ifs(and(isblank($A276),isblank($B276)),"", not(iserror(vlookup($A276&amp;$B276,'3) Release_Label'!$D:$D&amp;'3) Release_Label'!$E:$E,1,0))),vlookup($A276&amp;$B276,{'3) Release_Label'!$D:$D&amp;'3) Release_Label'!$E:$E,'3) Release_Label'!$H:$H},2,0),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E276" s="128" t="str">
        <f t="shared" si="3"/>
        <v/>
      </c>
      <c r="G276" s="93"/>
      <c r="H276" s="133"/>
      <c r="J276" s="20"/>
      <c r="K276" s="94"/>
      <c r="L276" s="20"/>
      <c r="N276" s="20"/>
      <c r="O276" s="20"/>
      <c r="P276" s="20"/>
    </row>
    <row r="277">
      <c r="A277" s="28"/>
      <c r="B277" s="93"/>
      <c r="C277" s="114" t="str">
        <f t="array" ref="C277">ifs(and(isblank($A277),isblank($B277)),"", not(iserror(vlookup($A277&amp;$B277,'3) Release_Label'!$D:$D&amp;'3) Release_Label'!$E:$E,1,0))),vlookup($A277&amp;$B277,{'3) Release_Label'!$D:$D&amp;'3) Release_Label'!$E:$E,'3) Release_Label'!$F:$F},2,0),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D277" s="114" t="str">
        <f t="array" ref="D277">ifs(and(isblank($A277),isblank($B277)),"", not(iserror(vlookup($A277&amp;$B277,'3) Release_Label'!$D:$D&amp;'3) Release_Label'!$E:$E,1,0))),vlookup($A277&amp;$B277,{'3) Release_Label'!$D:$D&amp;'3) Release_Label'!$E:$E,'3) Release_Label'!$H:$H},2,0),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E277" s="128" t="str">
        <f t="shared" si="3"/>
        <v/>
      </c>
      <c r="G277" s="93"/>
      <c r="H277" s="133"/>
      <c r="J277" s="20"/>
      <c r="K277" s="94"/>
      <c r="L277" s="20"/>
      <c r="N277" s="20"/>
      <c r="O277" s="20"/>
      <c r="P277" s="20"/>
    </row>
    <row r="278">
      <c r="A278" s="28"/>
      <c r="B278" s="93"/>
      <c r="C278" s="114" t="str">
        <f t="array" ref="C278">ifs(and(isblank($A278),isblank($B278)),"", not(iserror(vlookup($A278&amp;$B278,'3) Release_Label'!$D:$D&amp;'3) Release_Label'!$E:$E,1,0))),vlookup($A278&amp;$B278,{'3) Release_Label'!$D:$D&amp;'3) Release_Label'!$E:$E,'3) Release_Label'!$F:$F},2,0),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D278" s="114" t="str">
        <f t="array" ref="D278">ifs(and(isblank($A278),isblank($B278)),"", not(iserror(vlookup($A278&amp;$B278,'3) Release_Label'!$D:$D&amp;'3) Release_Label'!$E:$E,1,0))),vlookup($A278&amp;$B278,{'3) Release_Label'!$D:$D&amp;'3) Release_Label'!$E:$E,'3) Release_Label'!$H:$H},2,0),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E278" s="128" t="str">
        <f t="shared" si="3"/>
        <v/>
      </c>
      <c r="G278" s="93"/>
      <c r="H278" s="133"/>
      <c r="J278" s="20"/>
      <c r="K278" s="94"/>
      <c r="L278" s="20"/>
      <c r="N278" s="20"/>
      <c r="O278" s="20"/>
      <c r="P278" s="20"/>
    </row>
    <row r="279">
      <c r="A279" s="28"/>
      <c r="B279" s="93"/>
      <c r="C279" s="114" t="str">
        <f t="array" ref="C279">ifs(and(isblank($A279),isblank($B279)),"", not(iserror(vlookup($A279&amp;$B279,'3) Release_Label'!$D:$D&amp;'3) Release_Label'!$E:$E,1,0))),vlookup($A279&amp;$B279,{'3) Release_Label'!$D:$D&amp;'3) Release_Label'!$E:$E,'3) Release_Label'!$F:$F},2,0),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D279" s="114" t="str">
        <f t="array" ref="D279">ifs(and(isblank($A279),isblank($B279)),"", not(iserror(vlookup($A279&amp;$B279,'3) Release_Label'!$D:$D&amp;'3) Release_Label'!$E:$E,1,0))),vlookup($A279&amp;$B279,{'3) Release_Label'!$D:$D&amp;'3) Release_Label'!$E:$E,'3) Release_Label'!$H:$H},2,0),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E279" s="128" t="str">
        <f t="shared" si="3"/>
        <v/>
      </c>
      <c r="G279" s="93"/>
      <c r="H279" s="133"/>
      <c r="J279" s="20"/>
      <c r="K279" s="94"/>
      <c r="L279" s="20"/>
      <c r="N279" s="20"/>
      <c r="O279" s="20"/>
      <c r="P279" s="20"/>
    </row>
    <row r="280">
      <c r="A280" s="28"/>
      <c r="B280" s="93"/>
      <c r="C280" s="114" t="str">
        <f t="array" ref="C280">ifs(and(isblank($A280),isblank($B280)),"", not(iserror(vlookup($A280&amp;$B280,'3) Release_Label'!$D:$D&amp;'3) Release_Label'!$E:$E,1,0))),vlookup($A280&amp;$B280,{'3) Release_Label'!$D:$D&amp;'3) Release_Label'!$E:$E,'3) Release_Label'!$F:$F},2,0),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D280" s="114" t="str">
        <f t="array" ref="D280">ifs(and(isblank($A280),isblank($B280)),"", not(iserror(vlookup($A280&amp;$B280,'3) Release_Label'!$D:$D&amp;'3) Release_Label'!$E:$E,1,0))),vlookup($A280&amp;$B280,{'3) Release_Label'!$D:$D&amp;'3) Release_Label'!$E:$E,'3) Release_Label'!$H:$H},2,0),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E280" s="128" t="str">
        <f t="shared" si="3"/>
        <v/>
      </c>
      <c r="G280" s="93"/>
      <c r="H280" s="133"/>
      <c r="J280" s="20"/>
      <c r="K280" s="94"/>
      <c r="L280" s="20"/>
      <c r="N280" s="20"/>
      <c r="O280" s="20"/>
      <c r="P280" s="20"/>
    </row>
    <row r="281">
      <c r="A281" s="28"/>
      <c r="B281" s="93"/>
      <c r="C281" s="114" t="str">
        <f t="array" ref="C281">ifs(and(isblank($A281),isblank($B281)),"", not(iserror(vlookup($A281&amp;$B281,'3) Release_Label'!$D:$D&amp;'3) Release_Label'!$E:$E,1,0))),vlookup($A281&amp;$B281,{'3) Release_Label'!$D:$D&amp;'3) Release_Label'!$E:$E,'3) Release_Label'!$F:$F},2,0),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D281" s="114" t="str">
        <f t="array" ref="D281">ifs(and(isblank($A281),isblank($B281)),"", not(iserror(vlookup($A281&amp;$B281,'3) Release_Label'!$D:$D&amp;'3) Release_Label'!$E:$E,1,0))),vlookup($A281&amp;$B281,{'3) Release_Label'!$D:$D&amp;'3) Release_Label'!$E:$E,'3) Release_Label'!$H:$H},2,0),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E281" s="128" t="str">
        <f t="shared" si="3"/>
        <v/>
      </c>
      <c r="G281" s="93"/>
      <c r="H281" s="133"/>
      <c r="J281" s="20"/>
      <c r="K281" s="94"/>
      <c r="L281" s="20"/>
      <c r="N281" s="20"/>
      <c r="O281" s="20"/>
      <c r="P281" s="20"/>
    </row>
    <row r="282">
      <c r="A282" s="28"/>
      <c r="B282" s="93"/>
      <c r="C282" s="114" t="str">
        <f t="array" ref="C282">ifs(and(isblank($A282),isblank($B282)),"", not(iserror(vlookup($A282&amp;$B282,'3) Release_Label'!$D:$D&amp;'3) Release_Label'!$E:$E,1,0))),vlookup($A282&amp;$B282,{'3) Release_Label'!$D:$D&amp;'3) Release_Label'!$E:$E,'3) Release_Label'!$F:$F},2,0),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D282" s="114" t="str">
        <f t="array" ref="D282">ifs(and(isblank($A282),isblank($B282)),"", not(iserror(vlookup($A282&amp;$B282,'3) Release_Label'!$D:$D&amp;'3) Release_Label'!$E:$E,1,0))),vlookup($A282&amp;$B282,{'3) Release_Label'!$D:$D&amp;'3) Release_Label'!$E:$E,'3) Release_Label'!$H:$H},2,0),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E282" s="128" t="str">
        <f t="shared" si="3"/>
        <v/>
      </c>
      <c r="G282" s="93"/>
      <c r="H282" s="133"/>
      <c r="J282" s="20"/>
      <c r="K282" s="94"/>
      <c r="L282" s="20"/>
      <c r="N282" s="20"/>
      <c r="O282" s="20"/>
      <c r="P282" s="20"/>
    </row>
    <row r="283">
      <c r="A283" s="28"/>
      <c r="B283" s="93"/>
      <c r="C283" s="114" t="str">
        <f t="array" ref="C283">ifs(and(isblank($A283),isblank($B283)),"", not(iserror(vlookup($A283&amp;$B283,'3) Release_Label'!$D:$D&amp;'3) Release_Label'!$E:$E,1,0))),vlookup($A283&amp;$B283,{'3) Release_Label'!$D:$D&amp;'3) Release_Label'!$E:$E,'3) Release_Label'!$F:$F},2,0),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D283" s="114" t="str">
        <f t="array" ref="D283">ifs(and(isblank($A283),isblank($B283)),"", not(iserror(vlookup($A283&amp;$B283,'3) Release_Label'!$D:$D&amp;'3) Release_Label'!$E:$E,1,0))),vlookup($A283&amp;$B283,{'3) Release_Label'!$D:$D&amp;'3) Release_Label'!$E:$E,'3) Release_Label'!$H:$H},2,0),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E283" s="128" t="str">
        <f t="shared" si="3"/>
        <v/>
      </c>
      <c r="G283" s="93"/>
      <c r="H283" s="133"/>
      <c r="J283" s="20"/>
      <c r="K283" s="94"/>
      <c r="L283" s="20"/>
      <c r="N283" s="20"/>
      <c r="O283" s="20"/>
      <c r="P283" s="20"/>
    </row>
    <row r="284">
      <c r="A284" s="28"/>
      <c r="B284" s="93"/>
      <c r="C284" s="114" t="str">
        <f t="array" ref="C284">ifs(and(isblank($A284),isblank($B284)),"", not(iserror(vlookup($A284&amp;$B284,'3) Release_Label'!$D:$D&amp;'3) Release_Label'!$E:$E,1,0))),vlookup($A284&amp;$B284,{'3) Release_Label'!$D:$D&amp;'3) Release_Label'!$E:$E,'3) Release_Label'!$F:$F},2,0),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D284" s="114" t="str">
        <f t="array" ref="D284">ifs(and(isblank($A284),isblank($B284)),"", not(iserror(vlookup($A284&amp;$B284,'3) Release_Label'!$D:$D&amp;'3) Release_Label'!$E:$E,1,0))),vlookup($A284&amp;$B284,{'3) Release_Label'!$D:$D&amp;'3) Release_Label'!$E:$E,'3) Release_Label'!$H:$H},2,0),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E284" s="128" t="str">
        <f t="shared" si="3"/>
        <v/>
      </c>
      <c r="G284" s="93"/>
      <c r="H284" s="133"/>
      <c r="J284" s="20"/>
      <c r="K284" s="94"/>
      <c r="L284" s="20"/>
      <c r="N284" s="20"/>
      <c r="O284" s="20"/>
      <c r="P284" s="20"/>
    </row>
    <row r="285">
      <c r="A285" s="28"/>
      <c r="B285" s="93"/>
      <c r="C285" s="114" t="str">
        <f t="array" ref="C285">ifs(and(isblank($A285),isblank($B285)),"", not(iserror(vlookup($A285&amp;$B285,'3) Release_Label'!$D:$D&amp;'3) Release_Label'!$E:$E,1,0))),vlookup($A285&amp;$B285,{'3) Release_Label'!$D:$D&amp;'3) Release_Label'!$E:$E,'3) Release_Label'!$F:$F},2,0),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D285" s="114" t="str">
        <f t="array" ref="D285">ifs(and(isblank($A285),isblank($B285)),"", not(iserror(vlookup($A285&amp;$B285,'3) Release_Label'!$D:$D&amp;'3) Release_Label'!$E:$E,1,0))),vlookup($A285&amp;$B285,{'3) Release_Label'!$D:$D&amp;'3) Release_Label'!$E:$E,'3) Release_Label'!$H:$H},2,0),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E285" s="128" t="str">
        <f t="shared" si="3"/>
        <v/>
      </c>
      <c r="G285" s="93"/>
      <c r="H285" s="133"/>
      <c r="J285" s="20"/>
      <c r="K285" s="94"/>
      <c r="L285" s="20"/>
      <c r="N285" s="20"/>
      <c r="O285" s="20"/>
      <c r="P285" s="20"/>
    </row>
    <row r="286">
      <c r="A286" s="28"/>
      <c r="B286" s="93"/>
      <c r="C286" s="114" t="str">
        <f t="array" ref="C286">ifs(and(isblank($A286),isblank($B286)),"", not(iserror(vlookup($A286&amp;$B286,'3) Release_Label'!$D:$D&amp;'3) Release_Label'!$E:$E,1,0))),vlookup($A286&amp;$B286,{'3) Release_Label'!$D:$D&amp;'3) Release_Label'!$E:$E,'3) Release_Label'!$F:$F},2,0),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D286" s="114" t="str">
        <f t="array" ref="D286">ifs(and(isblank($A286),isblank($B286)),"", not(iserror(vlookup($A286&amp;$B286,'3) Release_Label'!$D:$D&amp;'3) Release_Label'!$E:$E,1,0))),vlookup($A286&amp;$B286,{'3) Release_Label'!$D:$D&amp;'3) Release_Label'!$E:$E,'3) Release_Label'!$H:$H},2,0),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E286" s="128" t="str">
        <f t="shared" si="3"/>
        <v/>
      </c>
      <c r="G286" s="93"/>
      <c r="H286" s="133"/>
      <c r="J286" s="20"/>
      <c r="K286" s="94"/>
      <c r="L286" s="20"/>
      <c r="N286" s="20"/>
      <c r="O286" s="20"/>
      <c r="P286" s="20"/>
    </row>
    <row r="287">
      <c r="A287" s="28"/>
      <c r="B287" s="93"/>
      <c r="C287" s="114" t="str">
        <f t="array" ref="C287">ifs(and(isblank($A287),isblank($B287)),"", not(iserror(vlookup($A287&amp;$B287,'3) Release_Label'!$D:$D&amp;'3) Release_Label'!$E:$E,1,0))),vlookup($A287&amp;$B287,{'3) Release_Label'!$D:$D&amp;'3) Release_Label'!$E:$E,'3) Release_Label'!$F:$F},2,0),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D287" s="114" t="str">
        <f t="array" ref="D287">ifs(and(isblank($A287),isblank($B287)),"", not(iserror(vlookup($A287&amp;$B287,'3) Release_Label'!$D:$D&amp;'3) Release_Label'!$E:$E,1,0))),vlookup($A287&amp;$B287,{'3) Release_Label'!$D:$D&amp;'3) Release_Label'!$E:$E,'3) Release_Label'!$H:$H},2,0),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E287" s="128" t="str">
        <f t="shared" si="3"/>
        <v/>
      </c>
      <c r="G287" s="93"/>
      <c r="H287" s="133"/>
      <c r="J287" s="20"/>
      <c r="K287" s="94"/>
      <c r="L287" s="20"/>
      <c r="N287" s="20"/>
      <c r="O287" s="20"/>
      <c r="P287" s="20"/>
    </row>
    <row r="288">
      <c r="A288" s="28"/>
      <c r="B288" s="93"/>
      <c r="C288" s="114" t="str">
        <f t="array" ref="C288">ifs(and(isblank($A288),isblank($B288)),"", not(iserror(vlookup($A288&amp;$B288,'3) Release_Label'!$D:$D&amp;'3) Release_Label'!$E:$E,1,0))),vlookup($A288&amp;$B288,{'3) Release_Label'!$D:$D&amp;'3) Release_Label'!$E:$E,'3) Release_Label'!$F:$F},2,0),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D288" s="114" t="str">
        <f t="array" ref="D288">ifs(and(isblank($A288),isblank($B288)),"", not(iserror(vlookup($A288&amp;$B288,'3) Release_Label'!$D:$D&amp;'3) Release_Label'!$E:$E,1,0))),vlookup($A288&amp;$B288,{'3) Release_Label'!$D:$D&amp;'3) Release_Label'!$E:$E,'3) Release_Label'!$H:$H},2,0),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E288" s="128" t="str">
        <f t="shared" si="3"/>
        <v/>
      </c>
      <c r="G288" s="93"/>
      <c r="H288" s="133"/>
      <c r="J288" s="20"/>
      <c r="K288" s="94"/>
      <c r="L288" s="20"/>
      <c r="N288" s="20"/>
      <c r="O288" s="20"/>
      <c r="P288" s="20"/>
    </row>
    <row r="289">
      <c r="A289" s="28"/>
      <c r="B289" s="93"/>
      <c r="C289" s="114" t="str">
        <f t="array" ref="C289">ifs(and(isblank($A289),isblank($B289)),"", not(iserror(vlookup($A289&amp;$B289,'3) Release_Label'!$D:$D&amp;'3) Release_Label'!$E:$E,1,0))),vlookup($A289&amp;$B289,{'3) Release_Label'!$D:$D&amp;'3) Release_Label'!$E:$E,'3) Release_Label'!$F:$F},2,0),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D289" s="114" t="str">
        <f t="array" ref="D289">ifs(and(isblank($A289),isblank($B289)),"", not(iserror(vlookup($A289&amp;$B289,'3) Release_Label'!$D:$D&amp;'3) Release_Label'!$E:$E,1,0))),vlookup($A289&amp;$B289,{'3) Release_Label'!$D:$D&amp;'3) Release_Label'!$E:$E,'3) Release_Label'!$H:$H},2,0),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E289" s="128" t="str">
        <f t="shared" si="3"/>
        <v/>
      </c>
      <c r="G289" s="93"/>
      <c r="H289" s="133"/>
      <c r="J289" s="20"/>
      <c r="K289" s="94"/>
      <c r="L289" s="20"/>
      <c r="N289" s="20"/>
      <c r="O289" s="20"/>
      <c r="P289" s="20"/>
    </row>
    <row r="290">
      <c r="A290" s="28"/>
      <c r="B290" s="93"/>
      <c r="C290" s="114" t="str">
        <f t="array" ref="C290">ifs(and(isblank($A290),isblank($B290)),"", not(iserror(vlookup($A290&amp;$B290,'3) Release_Label'!$D:$D&amp;'3) Release_Label'!$E:$E,1,0))),vlookup($A290&amp;$B290,{'3) Release_Label'!$D:$D&amp;'3) Release_Label'!$E:$E,'3) Release_Label'!$F:$F},2,0),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D290" s="114" t="str">
        <f t="array" ref="D290">ifs(and(isblank($A290),isblank($B290)),"", not(iserror(vlookup($A290&amp;$B290,'3) Release_Label'!$D:$D&amp;'3) Release_Label'!$E:$E,1,0))),vlookup($A290&amp;$B290,{'3) Release_Label'!$D:$D&amp;'3) Release_Label'!$E:$E,'3) Release_Label'!$H:$H},2,0),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E290" s="128" t="str">
        <f t="shared" si="3"/>
        <v/>
      </c>
      <c r="G290" s="93"/>
      <c r="H290" s="133"/>
      <c r="J290" s="20"/>
      <c r="K290" s="94"/>
      <c r="L290" s="20"/>
      <c r="N290" s="20"/>
      <c r="O290" s="20"/>
      <c r="P290" s="20"/>
    </row>
    <row r="291">
      <c r="A291" s="28"/>
      <c r="B291" s="93"/>
      <c r="C291" s="114" t="str">
        <f t="array" ref="C291">ifs(and(isblank($A291),isblank($B291)),"", not(iserror(vlookup($A291&amp;$B291,'3) Release_Label'!$D:$D&amp;'3) Release_Label'!$E:$E,1,0))),vlookup($A291&amp;$B291,{'3) Release_Label'!$D:$D&amp;'3) Release_Label'!$E:$E,'3) Release_Label'!$F:$F},2,0),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D291" s="114" t="str">
        <f t="array" ref="D291">ifs(and(isblank($A291),isblank($B291)),"", not(iserror(vlookup($A291&amp;$B291,'3) Release_Label'!$D:$D&amp;'3) Release_Label'!$E:$E,1,0))),vlookup($A291&amp;$B291,{'3) Release_Label'!$D:$D&amp;'3) Release_Label'!$E:$E,'3) Release_Label'!$H:$H},2,0),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E291" s="128" t="str">
        <f t="shared" si="3"/>
        <v/>
      </c>
      <c r="G291" s="93"/>
      <c r="H291" s="133"/>
      <c r="J291" s="20"/>
      <c r="K291" s="94"/>
      <c r="L291" s="20"/>
      <c r="N291" s="20"/>
      <c r="O291" s="20"/>
      <c r="P291" s="20"/>
    </row>
    <row r="292">
      <c r="A292" s="28"/>
      <c r="B292" s="93"/>
      <c r="C292" s="114" t="str">
        <f t="array" ref="C292">ifs(and(isblank($A292),isblank($B292)),"", not(iserror(vlookup($A292&amp;$B292,'3) Release_Label'!$D:$D&amp;'3) Release_Label'!$E:$E,1,0))),vlookup($A292&amp;$B292,{'3) Release_Label'!$D:$D&amp;'3) Release_Label'!$E:$E,'3) Release_Label'!$F:$F},2,0),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D292" s="114" t="str">
        <f t="array" ref="D292">ifs(and(isblank($A292),isblank($B292)),"", not(iserror(vlookup($A292&amp;$B292,'3) Release_Label'!$D:$D&amp;'3) Release_Label'!$E:$E,1,0))),vlookup($A292&amp;$B292,{'3) Release_Label'!$D:$D&amp;'3) Release_Label'!$E:$E,'3) Release_Label'!$H:$H},2,0),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E292" s="128" t="str">
        <f t="shared" si="3"/>
        <v/>
      </c>
      <c r="G292" s="93"/>
      <c r="H292" s="133"/>
      <c r="J292" s="20"/>
      <c r="K292" s="94"/>
      <c r="L292" s="20"/>
      <c r="N292" s="20"/>
      <c r="O292" s="20"/>
      <c r="P292" s="20"/>
    </row>
    <row r="293">
      <c r="A293" s="28"/>
      <c r="B293" s="93"/>
      <c r="C293" s="114" t="str">
        <f t="array" ref="C293">ifs(and(isblank($A293),isblank($B293)),"", not(iserror(vlookup($A293&amp;$B293,'3) Release_Label'!$D:$D&amp;'3) Release_Label'!$E:$E,1,0))),vlookup($A293&amp;$B293,{'3) Release_Label'!$D:$D&amp;'3) Release_Label'!$E:$E,'3) Release_Label'!$F:$F},2,0),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D293" s="114" t="str">
        <f t="array" ref="D293">ifs(and(isblank($A293),isblank($B293)),"", not(iserror(vlookup($A293&amp;$B293,'3) Release_Label'!$D:$D&amp;'3) Release_Label'!$E:$E,1,0))),vlookup($A293&amp;$B293,{'3) Release_Label'!$D:$D&amp;'3) Release_Label'!$E:$E,'3) Release_Label'!$H:$H},2,0),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E293" s="128" t="str">
        <f t="shared" si="3"/>
        <v/>
      </c>
      <c r="G293" s="93"/>
      <c r="H293" s="133"/>
      <c r="J293" s="20"/>
      <c r="K293" s="94"/>
      <c r="L293" s="20"/>
      <c r="N293" s="20"/>
      <c r="O293" s="20"/>
      <c r="P293" s="20"/>
    </row>
    <row r="294">
      <c r="A294" s="28"/>
      <c r="B294" s="93"/>
      <c r="C294" s="114" t="str">
        <f t="array" ref="C294">ifs(and(isblank($A294),isblank($B294)),"", not(iserror(vlookup($A294&amp;$B294,'3) Release_Label'!$D:$D&amp;'3) Release_Label'!$E:$E,1,0))),vlookup($A294&amp;$B294,{'3) Release_Label'!$D:$D&amp;'3) Release_Label'!$E:$E,'3) Release_Label'!$F:$F},2,0),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D294" s="114" t="str">
        <f t="array" ref="D294">ifs(and(isblank($A294),isblank($B294)),"", not(iserror(vlookup($A294&amp;$B294,'3) Release_Label'!$D:$D&amp;'3) Release_Label'!$E:$E,1,0))),vlookup($A294&amp;$B294,{'3) Release_Label'!$D:$D&amp;'3) Release_Label'!$E:$E,'3) Release_Label'!$H:$H},2,0),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E294" s="128" t="str">
        <f t="shared" si="3"/>
        <v/>
      </c>
      <c r="G294" s="93"/>
      <c r="H294" s="133"/>
      <c r="J294" s="20"/>
      <c r="K294" s="94"/>
      <c r="L294" s="20"/>
      <c r="N294" s="20"/>
      <c r="O294" s="20"/>
      <c r="P294" s="20"/>
    </row>
    <row r="295">
      <c r="A295" s="28"/>
      <c r="B295" s="93"/>
      <c r="C295" s="114" t="str">
        <f t="array" ref="C295">ifs(and(isblank($A295),isblank($B295)),"", not(iserror(vlookup($A295&amp;$B295,'3) Release_Label'!$D:$D&amp;'3) Release_Label'!$E:$E,1,0))),vlookup($A295&amp;$B295,{'3) Release_Label'!$D:$D&amp;'3) Release_Label'!$E:$E,'3) Release_Label'!$F:$F},2,0),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D295" s="114" t="str">
        <f t="array" ref="D295">ifs(and(isblank($A295),isblank($B295)),"", not(iserror(vlookup($A295&amp;$B295,'3) Release_Label'!$D:$D&amp;'3) Release_Label'!$E:$E,1,0))),vlookup($A295&amp;$B295,{'3) Release_Label'!$D:$D&amp;'3) Release_Label'!$E:$E,'3) Release_Label'!$H:$H},2,0),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E295" s="128" t="str">
        <f t="shared" si="3"/>
        <v/>
      </c>
      <c r="G295" s="93"/>
      <c r="H295" s="133"/>
      <c r="J295" s="20"/>
      <c r="K295" s="94"/>
      <c r="L295" s="20"/>
      <c r="N295" s="20"/>
      <c r="O295" s="20"/>
      <c r="P295" s="20"/>
    </row>
    <row r="296">
      <c r="A296" s="28"/>
      <c r="B296" s="93"/>
      <c r="C296" s="114" t="str">
        <f t="array" ref="C296">ifs(and(isblank($A296),isblank($B296)),"", not(iserror(vlookup($A296&amp;$B296,'3) Release_Label'!$D:$D&amp;'3) Release_Label'!$E:$E,1,0))),vlookup($A296&amp;$B296,{'3) Release_Label'!$D:$D&amp;'3) Release_Label'!$E:$E,'3) Release_Label'!$F:$F},2,0),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D296" s="114" t="str">
        <f t="array" ref="D296">ifs(and(isblank($A296),isblank($B296)),"", not(iserror(vlookup($A296&amp;$B296,'3) Release_Label'!$D:$D&amp;'3) Release_Label'!$E:$E,1,0))),vlookup($A296&amp;$B296,{'3) Release_Label'!$D:$D&amp;'3) Release_Label'!$E:$E,'3) Release_Label'!$H:$H},2,0),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E296" s="128" t="str">
        <f t="shared" si="3"/>
        <v/>
      </c>
      <c r="G296" s="93"/>
      <c r="H296" s="133"/>
      <c r="J296" s="20"/>
      <c r="K296" s="94"/>
      <c r="L296" s="20"/>
      <c r="N296" s="20"/>
      <c r="O296" s="20"/>
      <c r="P296" s="20"/>
    </row>
    <row r="297">
      <c r="A297" s="28"/>
      <c r="B297" s="93"/>
      <c r="C297" s="114" t="str">
        <f t="array" ref="C297">ifs(and(isblank($A297),isblank($B297)),"", not(iserror(vlookup($A297&amp;$B297,'3) Release_Label'!$D:$D&amp;'3) Release_Label'!$E:$E,1,0))),vlookup($A297&amp;$B297,{'3) Release_Label'!$D:$D&amp;'3) Release_Label'!$E:$E,'3) Release_Label'!$F:$F},2,0),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D297" s="114" t="str">
        <f t="array" ref="D297">ifs(and(isblank($A297),isblank($B297)),"", not(iserror(vlookup($A297&amp;$B297,'3) Release_Label'!$D:$D&amp;'3) Release_Label'!$E:$E,1,0))),vlookup($A297&amp;$B297,{'3) Release_Label'!$D:$D&amp;'3) Release_Label'!$E:$E,'3) Release_Label'!$H:$H},2,0),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E297" s="128" t="str">
        <f t="shared" si="3"/>
        <v/>
      </c>
      <c r="G297" s="93"/>
      <c r="H297" s="133"/>
      <c r="J297" s="20"/>
      <c r="K297" s="94"/>
      <c r="L297" s="20"/>
      <c r="N297" s="20"/>
      <c r="O297" s="20"/>
      <c r="P297" s="20"/>
    </row>
    <row r="298">
      <c r="A298" s="28"/>
      <c r="B298" s="93"/>
      <c r="C298" s="114" t="str">
        <f t="array" ref="C298">ifs(and(isblank($A298),isblank($B298)),"", not(iserror(vlookup($A298&amp;$B298,'3) Release_Label'!$D:$D&amp;'3) Release_Label'!$E:$E,1,0))),vlookup($A298&amp;$B298,{'3) Release_Label'!$D:$D&amp;'3) Release_Label'!$E:$E,'3) Release_Label'!$F:$F},2,0),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D298" s="114" t="str">
        <f t="array" ref="D298">ifs(and(isblank($A298),isblank($B298)),"", not(iserror(vlookup($A298&amp;$B298,'3) Release_Label'!$D:$D&amp;'3) Release_Label'!$E:$E,1,0))),vlookup($A298&amp;$B298,{'3) Release_Label'!$D:$D&amp;'3) Release_Label'!$E:$E,'3) Release_Label'!$H:$H},2,0),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E298" s="128" t="str">
        <f t="shared" si="3"/>
        <v/>
      </c>
      <c r="G298" s="93"/>
      <c r="H298" s="133"/>
      <c r="J298" s="20"/>
      <c r="K298" s="94"/>
      <c r="L298" s="20"/>
      <c r="N298" s="20"/>
      <c r="O298" s="20"/>
      <c r="P298" s="20"/>
    </row>
    <row r="299">
      <c r="A299" s="28"/>
      <c r="B299" s="93"/>
      <c r="C299" s="114" t="str">
        <f t="array" ref="C299">ifs(and(isblank($A299),isblank($B299)),"", not(iserror(vlookup($A299&amp;$B299,'3) Release_Label'!$D:$D&amp;'3) Release_Label'!$E:$E,1,0))),vlookup($A299&amp;$B299,{'3) Release_Label'!$D:$D&amp;'3) Release_Label'!$E:$E,'3) Release_Label'!$F:$F},2,0),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D299" s="114" t="str">
        <f t="array" ref="D299">ifs(and(isblank($A299),isblank($B299)),"", not(iserror(vlookup($A299&amp;$B299,'3) Release_Label'!$D:$D&amp;'3) Release_Label'!$E:$E,1,0))),vlookup($A299&amp;$B299,{'3) Release_Label'!$D:$D&amp;'3) Release_Label'!$E:$E,'3) Release_Label'!$H:$H},2,0),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E299" s="128" t="str">
        <f t="shared" si="3"/>
        <v/>
      </c>
      <c r="G299" s="93"/>
      <c r="H299" s="133"/>
      <c r="J299" s="20"/>
      <c r="K299" s="94"/>
      <c r="L299" s="20"/>
      <c r="N299" s="20"/>
      <c r="O299" s="20"/>
      <c r="P299" s="20"/>
    </row>
    <row r="300">
      <c r="A300" s="28"/>
      <c r="B300" s="93"/>
      <c r="C300" s="114" t="str">
        <f t="array" ref="C300">ifs(and(isblank($A300),isblank($B300)),"", not(iserror(vlookup($A300&amp;$B300,'3) Release_Label'!$D:$D&amp;'3) Release_Label'!$E:$E,1,0))),vlookup($A300&amp;$B300,{'3) Release_Label'!$D:$D&amp;'3) Release_Label'!$E:$E,'3) Release_Label'!$F:$F},2,0),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D300" s="114" t="str">
        <f t="array" ref="D300">ifs(and(isblank($A300),isblank($B300)),"", not(iserror(vlookup($A300&amp;$B300,'3) Release_Label'!$D:$D&amp;'3) Release_Label'!$E:$E,1,0))),vlookup($A300&amp;$B300,{'3) Release_Label'!$D:$D&amp;'3) Release_Label'!$E:$E,'3) Release_Label'!$H:$H},2,0),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E300" s="128" t="str">
        <f t="shared" si="3"/>
        <v/>
      </c>
      <c r="G300" s="93"/>
      <c r="H300" s="133"/>
      <c r="J300" s="20"/>
      <c r="K300" s="94"/>
      <c r="L300" s="20"/>
      <c r="N300" s="20"/>
      <c r="O300" s="20"/>
      <c r="P300" s="20"/>
    </row>
    <row r="301">
      <c r="A301" s="28"/>
      <c r="B301" s="93"/>
      <c r="C301" s="114" t="str">
        <f t="array" ref="C301">ifs(and(isblank($A301),isblank($B301)),"", not(iserror(vlookup($A301&amp;$B301,'3) Release_Label'!$D:$D&amp;'3) Release_Label'!$E:$E,1,0))),vlookup($A301&amp;$B301,{'3) Release_Label'!$D:$D&amp;'3) Release_Label'!$E:$E,'3) Release_Label'!$F:$F},2,0),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D301" s="114" t="str">
        <f t="array" ref="D301">ifs(and(isblank($A301),isblank($B301)),"", not(iserror(vlookup($A301&amp;$B301,'3) Release_Label'!$D:$D&amp;'3) Release_Label'!$E:$E,1,0))),vlookup($A301&amp;$B301,{'3) Release_Label'!$D:$D&amp;'3) Release_Label'!$E:$E,'3) Release_Label'!$H:$H},2,0),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E301" s="128" t="str">
        <f t="shared" si="3"/>
        <v/>
      </c>
      <c r="G301" s="93"/>
      <c r="H301" s="133"/>
      <c r="J301" s="20"/>
      <c r="K301" s="94"/>
      <c r="L301" s="20"/>
      <c r="N301" s="20"/>
      <c r="O301" s="20"/>
      <c r="P301" s="20"/>
    </row>
    <row r="302">
      <c r="A302" s="28"/>
      <c r="B302" s="93"/>
      <c r="C302" s="114" t="str">
        <f t="array" ref="C302">ifs(and(isblank($A302),isblank($B302)),"", not(iserror(vlookup($A302&amp;$B302,'3) Release_Label'!$D:$D&amp;'3) Release_Label'!$E:$E,1,0))),vlookup($A302&amp;$B302,{'3) Release_Label'!$D:$D&amp;'3) Release_Label'!$E:$E,'3) Release_Label'!$F:$F},2,0),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D302" s="114" t="str">
        <f t="array" ref="D302">ifs(and(isblank($A302),isblank($B302)),"", not(iserror(vlookup($A302&amp;$B302,'3) Release_Label'!$D:$D&amp;'3) Release_Label'!$E:$E,1,0))),vlookup($A302&amp;$B302,{'3) Release_Label'!$D:$D&amp;'3) Release_Label'!$E:$E,'3) Release_Label'!$H:$H},2,0),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E302" s="128" t="str">
        <f t="shared" si="3"/>
        <v/>
      </c>
      <c r="G302" s="93"/>
      <c r="H302" s="133"/>
      <c r="J302" s="20"/>
      <c r="K302" s="94"/>
      <c r="L302" s="20"/>
      <c r="N302" s="20"/>
      <c r="O302" s="20"/>
      <c r="P302" s="20"/>
    </row>
    <row r="303">
      <c r="A303" s="28"/>
      <c r="B303" s="93"/>
      <c r="C303" s="114" t="str">
        <f t="array" ref="C303">ifs(and(isblank($A303),isblank($B303)),"", not(iserror(vlookup($A303&amp;$B303,'3) Release_Label'!$D:$D&amp;'3) Release_Label'!$E:$E,1,0))),vlookup($A303&amp;$B303,{'3) Release_Label'!$D:$D&amp;'3) Release_Label'!$E:$E,'3) Release_Label'!$F:$F},2,0),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D303" s="114" t="str">
        <f t="array" ref="D303">ifs(and(isblank($A303),isblank($B303)),"", not(iserror(vlookup($A303&amp;$B303,'3) Release_Label'!$D:$D&amp;'3) Release_Label'!$E:$E,1,0))),vlookup($A303&amp;$B303,{'3) Release_Label'!$D:$D&amp;'3) Release_Label'!$E:$E,'3) Release_Label'!$H:$H},2,0),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E303" s="128" t="str">
        <f t="shared" si="3"/>
        <v/>
      </c>
      <c r="G303" s="93"/>
      <c r="H303" s="133"/>
      <c r="J303" s="20"/>
      <c r="K303" s="94"/>
      <c r="L303" s="20"/>
      <c r="N303" s="20"/>
      <c r="O303" s="20"/>
      <c r="P303" s="20"/>
    </row>
    <row r="304">
      <c r="A304" s="28"/>
      <c r="B304" s="93"/>
      <c r="C304" s="114" t="str">
        <f t="array" ref="C304">ifs(and(isblank($A304),isblank($B304)),"", not(iserror(vlookup($A304&amp;$B304,'3) Release_Label'!$D:$D&amp;'3) Release_Label'!$E:$E,1,0))),vlookup($A304&amp;$B304,{'3) Release_Label'!$D:$D&amp;'3) Release_Label'!$E:$E,'3) Release_Label'!$F:$F},2,0),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D304" s="114" t="str">
        <f t="array" ref="D304">ifs(and(isblank($A304),isblank($B304)),"", not(iserror(vlookup($A304&amp;$B304,'3) Release_Label'!$D:$D&amp;'3) Release_Label'!$E:$E,1,0))),vlookup($A304&amp;$B304,{'3) Release_Label'!$D:$D&amp;'3) Release_Label'!$E:$E,'3) Release_Label'!$H:$H},2,0),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E304" s="128" t="str">
        <f t="shared" si="3"/>
        <v/>
      </c>
      <c r="G304" s="93"/>
      <c r="H304" s="133"/>
      <c r="J304" s="20"/>
      <c r="K304" s="94"/>
      <c r="L304" s="20"/>
      <c r="N304" s="20"/>
      <c r="O304" s="20"/>
      <c r="P304" s="20"/>
    </row>
    <row r="305">
      <c r="A305" s="28"/>
      <c r="B305" s="93"/>
      <c r="C305" s="114" t="str">
        <f t="array" ref="C305">ifs(and(isblank($A305),isblank($B305)),"", not(iserror(vlookup($A305&amp;$B305,'3) Release_Label'!$D:$D&amp;'3) Release_Label'!$E:$E,1,0))),vlookup($A305&amp;$B305,{'3) Release_Label'!$D:$D&amp;'3) Release_Label'!$E:$E,'3) Release_Label'!$F:$F},2,0),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D305" s="114" t="str">
        <f t="array" ref="D305">ifs(and(isblank($A305),isblank($B305)),"", not(iserror(vlookup($A305&amp;$B305,'3) Release_Label'!$D:$D&amp;'3) Release_Label'!$E:$E,1,0))),vlookup($A305&amp;$B305,{'3) Release_Label'!$D:$D&amp;'3) Release_Label'!$E:$E,'3) Release_Label'!$H:$H},2,0),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E305" s="128" t="str">
        <f t="shared" si="3"/>
        <v/>
      </c>
      <c r="G305" s="93"/>
      <c r="H305" s="133"/>
      <c r="J305" s="20"/>
      <c r="K305" s="94"/>
      <c r="L305" s="20"/>
      <c r="N305" s="20"/>
      <c r="O305" s="20"/>
      <c r="P305" s="20"/>
    </row>
    <row r="306">
      <c r="A306" s="28"/>
      <c r="B306" s="93"/>
      <c r="C306" s="114" t="str">
        <f t="array" ref="C306">ifs(and(isblank($A306),isblank($B306)),"", not(iserror(vlookup($A306&amp;$B306,'3) Release_Label'!$D:$D&amp;'3) Release_Label'!$E:$E,1,0))),vlookup($A306&amp;$B306,{'3) Release_Label'!$D:$D&amp;'3) Release_Label'!$E:$E,'3) Release_Label'!$F:$F},2,0),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D306" s="114" t="str">
        <f t="array" ref="D306">ifs(and(isblank($A306),isblank($B306)),"", not(iserror(vlookup($A306&amp;$B306,'3) Release_Label'!$D:$D&amp;'3) Release_Label'!$E:$E,1,0))),vlookup($A306&amp;$B306,{'3) Release_Label'!$D:$D&amp;'3) Release_Label'!$E:$E,'3) Release_Label'!$H:$H},2,0),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E306" s="128" t="str">
        <f t="shared" si="3"/>
        <v/>
      </c>
      <c r="G306" s="93"/>
      <c r="H306" s="133"/>
      <c r="J306" s="20"/>
      <c r="K306" s="94"/>
      <c r="L306" s="20"/>
      <c r="N306" s="20"/>
      <c r="O306" s="20"/>
      <c r="P306" s="20"/>
    </row>
    <row r="307">
      <c r="A307" s="28"/>
      <c r="B307" s="93"/>
      <c r="C307" s="114" t="str">
        <f t="array" ref="C307">ifs(and(isblank($A307),isblank($B307)),"", not(iserror(vlookup($A307&amp;$B307,'3) Release_Label'!$D:$D&amp;'3) Release_Label'!$E:$E,1,0))),vlookup($A307&amp;$B307,{'3) Release_Label'!$D:$D&amp;'3) Release_Label'!$E:$E,'3) Release_Label'!$F:$F},2,0),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D307" s="114" t="str">
        <f t="array" ref="D307">ifs(and(isblank($A307),isblank($B307)),"", not(iserror(vlookup($A307&amp;$B307,'3) Release_Label'!$D:$D&amp;'3) Release_Label'!$E:$E,1,0))),vlookup($A307&amp;$B307,{'3) Release_Label'!$D:$D&amp;'3) Release_Label'!$E:$E,'3) Release_Label'!$H:$H},2,0),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E307" s="128" t="str">
        <f t="shared" si="3"/>
        <v/>
      </c>
      <c r="G307" s="93"/>
      <c r="H307" s="133"/>
      <c r="J307" s="20"/>
      <c r="K307" s="94"/>
      <c r="L307" s="20"/>
      <c r="N307" s="20"/>
      <c r="O307" s="20"/>
      <c r="P307" s="20"/>
    </row>
    <row r="308">
      <c r="A308" s="28"/>
      <c r="B308" s="93"/>
      <c r="C308" s="114" t="str">
        <f t="array" ref="C308">ifs(and(isblank($A308),isblank($B308)),"", not(iserror(vlookup($A308&amp;$B308,'3) Release_Label'!$D:$D&amp;'3) Release_Label'!$E:$E,1,0))),vlookup($A308&amp;$B308,{'3) Release_Label'!$D:$D&amp;'3) Release_Label'!$E:$E,'3) Release_Label'!$F:$F},2,0),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D308" s="114" t="str">
        <f t="array" ref="D308">ifs(and(isblank($A308),isblank($B308)),"", not(iserror(vlookup($A308&amp;$B308,'3) Release_Label'!$D:$D&amp;'3) Release_Label'!$E:$E,1,0))),vlookup($A308&amp;$B308,{'3) Release_Label'!$D:$D&amp;'3) Release_Label'!$E:$E,'3) Release_Label'!$H:$H},2,0),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E308" s="128" t="str">
        <f t="shared" si="3"/>
        <v/>
      </c>
      <c r="G308" s="93"/>
      <c r="H308" s="133"/>
      <c r="J308" s="20"/>
      <c r="K308" s="94"/>
      <c r="L308" s="20"/>
      <c r="N308" s="20"/>
      <c r="O308" s="20"/>
      <c r="P308" s="20"/>
    </row>
    <row r="309">
      <c r="A309" s="28"/>
      <c r="B309" s="93"/>
      <c r="C309" s="114" t="str">
        <f t="array" ref="C309">ifs(and(isblank($A309),isblank($B309)),"", not(iserror(vlookup($A309&amp;$B309,'3) Release_Label'!$D:$D&amp;'3) Release_Label'!$E:$E,1,0))),vlookup($A309&amp;$B309,{'3) Release_Label'!$D:$D&amp;'3) Release_Label'!$E:$E,'3) Release_Label'!$F:$F},2,0),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D309" s="114" t="str">
        <f t="array" ref="D309">ifs(and(isblank($A309),isblank($B309)),"", not(iserror(vlookup($A309&amp;$B309,'3) Release_Label'!$D:$D&amp;'3) Release_Label'!$E:$E,1,0))),vlookup($A309&amp;$B309,{'3) Release_Label'!$D:$D&amp;'3) Release_Label'!$E:$E,'3) Release_Label'!$H:$H},2,0),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E309" s="128" t="str">
        <f t="shared" si="3"/>
        <v/>
      </c>
      <c r="G309" s="93"/>
      <c r="H309" s="133"/>
      <c r="J309" s="20"/>
      <c r="K309" s="94"/>
      <c r="L309" s="20"/>
      <c r="N309" s="20"/>
      <c r="O309" s="20"/>
      <c r="P309" s="20"/>
    </row>
    <row r="310">
      <c r="A310" s="28"/>
      <c r="B310" s="93"/>
      <c r="C310" s="114" t="str">
        <f t="array" ref="C310">ifs(and(isblank($A310),isblank($B310)),"", not(iserror(vlookup($A310&amp;$B310,'3) Release_Label'!$D:$D&amp;'3) Release_Label'!$E:$E,1,0))),vlookup($A310&amp;$B310,{'3) Release_Label'!$D:$D&amp;'3) Release_Label'!$E:$E,'3) Release_Label'!$F:$F},2,0),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D310" s="114" t="str">
        <f t="array" ref="D310">ifs(and(isblank($A310),isblank($B310)),"", not(iserror(vlookup($A310&amp;$B310,'3) Release_Label'!$D:$D&amp;'3) Release_Label'!$E:$E,1,0))),vlookup($A310&amp;$B310,{'3) Release_Label'!$D:$D&amp;'3) Release_Label'!$E:$E,'3) Release_Label'!$H:$H},2,0),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E310" s="128" t="str">
        <f t="shared" si="3"/>
        <v/>
      </c>
      <c r="G310" s="93"/>
      <c r="H310" s="133"/>
      <c r="J310" s="20"/>
      <c r="K310" s="94"/>
      <c r="L310" s="20"/>
      <c r="N310" s="20"/>
      <c r="O310" s="20"/>
      <c r="P310" s="20"/>
    </row>
    <row r="311">
      <c r="A311" s="28"/>
      <c r="B311" s="93"/>
      <c r="C311" s="114" t="str">
        <f t="array" ref="C311">ifs(and(isblank($A311),isblank($B311)),"", not(iserror(vlookup($A311&amp;$B311,'3) Release_Label'!$D:$D&amp;'3) Release_Label'!$E:$E,1,0))),vlookup($A311&amp;$B311,{'3) Release_Label'!$D:$D&amp;'3) Release_Label'!$E:$E,'3) Release_Label'!$F:$F},2,0),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D311" s="114" t="str">
        <f t="array" ref="D311">ifs(and(isblank($A311),isblank($B311)),"", not(iserror(vlookup($A311&amp;$B311,'3) Release_Label'!$D:$D&amp;'3) Release_Label'!$E:$E,1,0))),vlookup($A311&amp;$B311,{'3) Release_Label'!$D:$D&amp;'3) Release_Label'!$E:$E,'3) Release_Label'!$H:$H},2,0),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E311" s="128" t="str">
        <f t="shared" si="3"/>
        <v/>
      </c>
      <c r="G311" s="93"/>
      <c r="H311" s="133"/>
      <c r="J311" s="20"/>
      <c r="K311" s="94"/>
      <c r="L311" s="20"/>
      <c r="N311" s="20"/>
      <c r="O311" s="20"/>
      <c r="P311" s="20"/>
    </row>
    <row r="312">
      <c r="A312" s="28"/>
      <c r="B312" s="93"/>
      <c r="C312" s="114" t="str">
        <f t="array" ref="C312">ifs(and(isblank($A312),isblank($B312)),"", not(iserror(vlookup($A312&amp;$B312,'3) Release_Label'!$D:$D&amp;'3) Release_Label'!$E:$E,1,0))),vlookup($A312&amp;$B312,{'3) Release_Label'!$D:$D&amp;'3) Release_Label'!$E:$E,'3) Release_Label'!$F:$F},2,0),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D312" s="114" t="str">
        <f t="array" ref="D312">ifs(and(isblank($A312),isblank($B312)),"", not(iserror(vlookup($A312&amp;$B312,'3) Release_Label'!$D:$D&amp;'3) Release_Label'!$E:$E,1,0))),vlookup($A312&amp;$B312,{'3) Release_Label'!$D:$D&amp;'3) Release_Label'!$E:$E,'3) Release_Label'!$H:$H},2,0),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E312" s="128" t="str">
        <f t="shared" si="3"/>
        <v/>
      </c>
      <c r="G312" s="93"/>
      <c r="H312" s="133"/>
      <c r="J312" s="20"/>
      <c r="K312" s="94"/>
      <c r="L312" s="20"/>
      <c r="N312" s="20"/>
      <c r="O312" s="20"/>
      <c r="P312" s="20"/>
    </row>
    <row r="313">
      <c r="A313" s="28"/>
      <c r="B313" s="93"/>
      <c r="C313" s="114" t="str">
        <f t="array" ref="C313">ifs(and(isblank($A313),isblank($B313)),"", not(iserror(vlookup($A313&amp;$B313,'3) Release_Label'!$D:$D&amp;'3) Release_Label'!$E:$E,1,0))),vlookup($A313&amp;$B313,{'3) Release_Label'!$D:$D&amp;'3) Release_Label'!$E:$E,'3) Release_Label'!$F:$F},2,0),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D313" s="114" t="str">
        <f t="array" ref="D313">ifs(and(isblank($A313),isblank($B313)),"", not(iserror(vlookup($A313&amp;$B313,'3) Release_Label'!$D:$D&amp;'3) Release_Label'!$E:$E,1,0))),vlookup($A313&amp;$B313,{'3) Release_Label'!$D:$D&amp;'3) Release_Label'!$E:$E,'3) Release_Label'!$H:$H},2,0),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E313" s="128" t="str">
        <f t="shared" si="3"/>
        <v/>
      </c>
      <c r="G313" s="93"/>
      <c r="H313" s="133"/>
      <c r="J313" s="20"/>
      <c r="K313" s="94"/>
      <c r="L313" s="20"/>
      <c r="N313" s="20"/>
      <c r="O313" s="20"/>
      <c r="P313" s="20"/>
    </row>
    <row r="314">
      <c r="A314" s="28"/>
      <c r="B314" s="93"/>
      <c r="C314" s="114" t="str">
        <f t="array" ref="C314">ifs(and(isblank($A314),isblank($B314)),"", not(iserror(vlookup($A314&amp;$B314,'3) Release_Label'!$D:$D&amp;'3) Release_Label'!$E:$E,1,0))),vlookup($A314&amp;$B314,{'3) Release_Label'!$D:$D&amp;'3) Release_Label'!$E:$E,'3) Release_Label'!$F:$F},2,0),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D314" s="114" t="str">
        <f t="array" ref="D314">ifs(and(isblank($A314),isblank($B314)),"", not(iserror(vlookup($A314&amp;$B314,'3) Release_Label'!$D:$D&amp;'3) Release_Label'!$E:$E,1,0))),vlookup($A314&amp;$B314,{'3) Release_Label'!$D:$D&amp;'3) Release_Label'!$E:$E,'3) Release_Label'!$H:$H},2,0),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E314" s="128" t="str">
        <f t="shared" si="3"/>
        <v/>
      </c>
      <c r="G314" s="93"/>
      <c r="H314" s="133"/>
      <c r="J314" s="20"/>
      <c r="K314" s="94"/>
      <c r="L314" s="20"/>
      <c r="N314" s="20"/>
      <c r="O314" s="20"/>
      <c r="P314" s="20"/>
    </row>
    <row r="315">
      <c r="A315" s="28"/>
      <c r="B315" s="93"/>
      <c r="C315" s="114" t="str">
        <f t="array" ref="C315">ifs(and(isblank($A315),isblank($B315)),"", not(iserror(vlookup($A315&amp;$B315,'3) Release_Label'!$D:$D&amp;'3) Release_Label'!$E:$E,1,0))),vlookup($A315&amp;$B315,{'3) Release_Label'!$D:$D&amp;'3) Release_Label'!$E:$E,'3) Release_Label'!$F:$F},2,0),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D315" s="114" t="str">
        <f t="array" ref="D315">ifs(and(isblank($A315),isblank($B315)),"", not(iserror(vlookup($A315&amp;$B315,'3) Release_Label'!$D:$D&amp;'3) Release_Label'!$E:$E,1,0))),vlookup($A315&amp;$B315,{'3) Release_Label'!$D:$D&amp;'3) Release_Label'!$E:$E,'3) Release_Label'!$H:$H},2,0),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E315" s="128" t="str">
        <f t="shared" si="3"/>
        <v/>
      </c>
      <c r="G315" s="93"/>
      <c r="H315" s="133"/>
      <c r="J315" s="20"/>
      <c r="K315" s="94"/>
      <c r="L315" s="20"/>
      <c r="N315" s="20"/>
      <c r="O315" s="20"/>
      <c r="P315" s="20"/>
    </row>
    <row r="316">
      <c r="A316" s="28"/>
      <c r="B316" s="93"/>
      <c r="C316" s="114" t="str">
        <f t="array" ref="C316">ifs(and(isblank($A316),isblank($B316)),"", not(iserror(vlookup($A316&amp;$B316,'3) Release_Label'!$D:$D&amp;'3) Release_Label'!$E:$E,1,0))),vlookup($A316&amp;$B316,{'3) Release_Label'!$D:$D&amp;'3) Release_Label'!$E:$E,'3) Release_Label'!$F:$F},2,0),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D316" s="114" t="str">
        <f t="array" ref="D316">ifs(and(isblank($A316),isblank($B316)),"", not(iserror(vlookup($A316&amp;$B316,'3) Release_Label'!$D:$D&amp;'3) Release_Label'!$E:$E,1,0))),vlookup($A316&amp;$B316,{'3) Release_Label'!$D:$D&amp;'3) Release_Label'!$E:$E,'3) Release_Label'!$H:$H},2,0),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E316" s="128" t="str">
        <f t="shared" si="3"/>
        <v/>
      </c>
      <c r="G316" s="93"/>
      <c r="H316" s="133"/>
      <c r="J316" s="20"/>
      <c r="K316" s="94"/>
      <c r="L316" s="20"/>
      <c r="N316" s="20"/>
      <c r="O316" s="20"/>
      <c r="P316" s="20"/>
    </row>
    <row r="317">
      <c r="A317" s="28"/>
      <c r="B317" s="93"/>
      <c r="C317" s="114" t="str">
        <f t="array" ref="C317">ifs(and(isblank($A317),isblank($B317)),"", not(iserror(vlookup($A317&amp;$B317,'3) Release_Label'!$D:$D&amp;'3) Release_Label'!$E:$E,1,0))),vlookup($A317&amp;$B317,{'3) Release_Label'!$D:$D&amp;'3) Release_Label'!$E:$E,'3) Release_Label'!$F:$F},2,0),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D317" s="114" t="str">
        <f t="array" ref="D317">ifs(and(isblank($A317),isblank($B317)),"", not(iserror(vlookup($A317&amp;$B317,'3) Release_Label'!$D:$D&amp;'3) Release_Label'!$E:$E,1,0))),vlookup($A317&amp;$B317,{'3) Release_Label'!$D:$D&amp;'3) Release_Label'!$E:$E,'3) Release_Label'!$H:$H},2,0),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E317" s="128" t="str">
        <f t="shared" si="3"/>
        <v/>
      </c>
      <c r="G317" s="93"/>
      <c r="H317" s="133"/>
      <c r="J317" s="20"/>
      <c r="K317" s="94"/>
      <c r="L317" s="20"/>
      <c r="N317" s="20"/>
      <c r="O317" s="20"/>
      <c r="P317" s="20"/>
    </row>
    <row r="318">
      <c r="A318" s="28"/>
      <c r="B318" s="93"/>
      <c r="C318" s="114" t="str">
        <f t="array" ref="C318">ifs(and(isblank($A318),isblank($B318)),"", not(iserror(vlookup($A318&amp;$B318,'3) Release_Label'!$D:$D&amp;'3) Release_Label'!$E:$E,1,0))),vlookup($A318&amp;$B318,{'3) Release_Label'!$D:$D&amp;'3) Release_Label'!$E:$E,'3) Release_Label'!$F:$F},2,0),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D318" s="114" t="str">
        <f t="array" ref="D318">ifs(and(isblank($A318),isblank($B318)),"", not(iserror(vlookup($A318&amp;$B318,'3) Release_Label'!$D:$D&amp;'3) Release_Label'!$E:$E,1,0))),vlookup($A318&amp;$B318,{'3) Release_Label'!$D:$D&amp;'3) Release_Label'!$E:$E,'3) Release_Label'!$H:$H},2,0),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E318" s="128" t="str">
        <f t="shared" si="3"/>
        <v/>
      </c>
      <c r="G318" s="93"/>
      <c r="H318" s="133"/>
      <c r="J318" s="20"/>
      <c r="K318" s="94"/>
      <c r="L318" s="20"/>
      <c r="N318" s="20"/>
      <c r="O318" s="20"/>
      <c r="P318" s="20"/>
    </row>
    <row r="319">
      <c r="A319" s="28"/>
      <c r="B319" s="93"/>
      <c r="C319" s="114" t="str">
        <f t="array" ref="C319">ifs(and(isblank($A319),isblank($B319)),"", not(iserror(vlookup($A319&amp;$B319,'3) Release_Label'!$D:$D&amp;'3) Release_Label'!$E:$E,1,0))),vlookup($A319&amp;$B319,{'3) Release_Label'!$D:$D&amp;'3) Release_Label'!$E:$E,'3) Release_Label'!$F:$F},2,0),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D319" s="114" t="str">
        <f t="array" ref="D319">ifs(and(isblank($A319),isblank($B319)),"", not(iserror(vlookup($A319&amp;$B319,'3) Release_Label'!$D:$D&amp;'3) Release_Label'!$E:$E,1,0))),vlookup($A319&amp;$B319,{'3) Release_Label'!$D:$D&amp;'3) Release_Label'!$E:$E,'3) Release_Label'!$H:$H},2,0),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E319" s="128" t="str">
        <f t="shared" si="3"/>
        <v/>
      </c>
      <c r="G319" s="93"/>
      <c r="H319" s="133"/>
      <c r="J319" s="20"/>
      <c r="K319" s="94"/>
      <c r="L319" s="20"/>
      <c r="N319" s="20"/>
      <c r="O319" s="20"/>
      <c r="P319" s="20"/>
    </row>
    <row r="320">
      <c r="A320" s="28"/>
      <c r="B320" s="93"/>
      <c r="C320" s="114" t="str">
        <f t="array" ref="C320">ifs(and(isblank($A320),isblank($B320)),"", not(iserror(vlookup($A320&amp;$B320,'3) Release_Label'!$D:$D&amp;'3) Release_Label'!$E:$E,1,0))),vlookup($A320&amp;$B320,{'3) Release_Label'!$D:$D&amp;'3) Release_Label'!$E:$E,'3) Release_Label'!$F:$F},2,0),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D320" s="114" t="str">
        <f t="array" ref="D320">ifs(and(isblank($A320),isblank($B320)),"", not(iserror(vlookup($A320&amp;$B320,'3) Release_Label'!$D:$D&amp;'3) Release_Label'!$E:$E,1,0))),vlookup($A320&amp;$B320,{'3) Release_Label'!$D:$D&amp;'3) Release_Label'!$E:$E,'3) Release_Label'!$H:$H},2,0),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E320" s="128" t="str">
        <f t="shared" si="3"/>
        <v/>
      </c>
      <c r="G320" s="93"/>
      <c r="H320" s="133"/>
      <c r="J320" s="20"/>
      <c r="K320" s="94"/>
      <c r="L320" s="20"/>
      <c r="N320" s="20"/>
      <c r="O320" s="20"/>
      <c r="P320" s="20"/>
    </row>
    <row r="321">
      <c r="A321" s="28"/>
      <c r="B321" s="93"/>
      <c r="C321" s="114" t="str">
        <f t="array" ref="C321">ifs(and(isblank($A321),isblank($B321)),"", not(iserror(vlookup($A321&amp;$B321,'3) Release_Label'!$D:$D&amp;'3) Release_Label'!$E:$E,1,0))),vlookup($A321&amp;$B321,{'3) Release_Label'!$D:$D&amp;'3) Release_Label'!$E:$E,'3) Release_Label'!$F:$F},2,0),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D321" s="114" t="str">
        <f t="array" ref="D321">ifs(and(isblank($A321),isblank($B321)),"", not(iserror(vlookup($A321&amp;$B321,'3) Release_Label'!$D:$D&amp;'3) Release_Label'!$E:$E,1,0))),vlookup($A321&amp;$B321,{'3) Release_Label'!$D:$D&amp;'3) Release_Label'!$E:$E,'3) Release_Label'!$H:$H},2,0),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E321" s="128" t="str">
        <f t="shared" si="3"/>
        <v/>
      </c>
      <c r="G321" s="93"/>
      <c r="H321" s="133"/>
      <c r="J321" s="20"/>
      <c r="K321" s="94"/>
      <c r="L321" s="20"/>
      <c r="N321" s="20"/>
      <c r="O321" s="20"/>
      <c r="P321" s="20"/>
    </row>
    <row r="322">
      <c r="A322" s="28"/>
      <c r="B322" s="93"/>
      <c r="C322" s="114" t="str">
        <f t="array" ref="C322">ifs(and(isblank($A322),isblank($B322)),"", not(iserror(vlookup($A322&amp;$B322,'3) Release_Label'!$D:$D&amp;'3) Release_Label'!$E:$E,1,0))),vlookup($A322&amp;$B322,{'3) Release_Label'!$D:$D&amp;'3) Release_Label'!$E:$E,'3) Release_Label'!$F:$F},2,0),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D322" s="114" t="str">
        <f t="array" ref="D322">ifs(and(isblank($A322),isblank($B322)),"", not(iserror(vlookup($A322&amp;$B322,'3) Release_Label'!$D:$D&amp;'3) Release_Label'!$E:$E,1,0))),vlookup($A322&amp;$B322,{'3) Release_Label'!$D:$D&amp;'3) Release_Label'!$E:$E,'3) Release_Label'!$H:$H},2,0),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E322" s="128" t="str">
        <f t="shared" si="3"/>
        <v/>
      </c>
      <c r="G322" s="93"/>
      <c r="H322" s="133"/>
      <c r="J322" s="20"/>
      <c r="K322" s="94"/>
      <c r="L322" s="20"/>
      <c r="N322" s="20"/>
      <c r="O322" s="20"/>
      <c r="P322" s="20"/>
    </row>
    <row r="323">
      <c r="A323" s="28"/>
      <c r="B323" s="93"/>
      <c r="C323" s="114" t="str">
        <f t="array" ref="C323">ifs(and(isblank($A323),isblank($B323)),"", not(iserror(vlookup($A323&amp;$B323,'3) Release_Label'!$D:$D&amp;'3) Release_Label'!$E:$E,1,0))),vlookup($A323&amp;$B323,{'3) Release_Label'!$D:$D&amp;'3) Release_Label'!$E:$E,'3) Release_Label'!$F:$F},2,0),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D323" s="114" t="str">
        <f t="array" ref="D323">ifs(and(isblank($A323),isblank($B323)),"", not(iserror(vlookup($A323&amp;$B323,'3) Release_Label'!$D:$D&amp;'3) Release_Label'!$E:$E,1,0))),vlookup($A323&amp;$B323,{'3) Release_Label'!$D:$D&amp;'3) Release_Label'!$E:$E,'3) Release_Label'!$H:$H},2,0),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E323" s="128" t="str">
        <f t="shared" si="3"/>
        <v/>
      </c>
      <c r="G323" s="93"/>
      <c r="H323" s="133"/>
      <c r="J323" s="20"/>
      <c r="K323" s="94"/>
      <c r="L323" s="20"/>
      <c r="N323" s="20"/>
      <c r="O323" s="20"/>
      <c r="P323" s="20"/>
    </row>
    <row r="324">
      <c r="A324" s="28"/>
      <c r="B324" s="93"/>
      <c r="C324" s="114" t="str">
        <f t="array" ref="C324">ifs(and(isblank($A324),isblank($B324)),"", not(iserror(vlookup($A324&amp;$B324,'3) Release_Label'!$D:$D&amp;'3) Release_Label'!$E:$E,1,0))),vlookup($A324&amp;$B324,{'3) Release_Label'!$D:$D&amp;'3) Release_Label'!$E:$E,'3) Release_Label'!$F:$F},2,0),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D324" s="114" t="str">
        <f t="array" ref="D324">ifs(and(isblank($A324),isblank($B324)),"", not(iserror(vlookup($A324&amp;$B324,'3) Release_Label'!$D:$D&amp;'3) Release_Label'!$E:$E,1,0))),vlookup($A324&amp;$B324,{'3) Release_Label'!$D:$D&amp;'3) Release_Label'!$E:$E,'3) Release_Label'!$H:$H},2,0),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E324" s="128" t="str">
        <f t="shared" si="3"/>
        <v/>
      </c>
      <c r="G324" s="93"/>
      <c r="H324" s="133"/>
      <c r="J324" s="20"/>
      <c r="K324" s="94"/>
      <c r="L324" s="20"/>
      <c r="N324" s="20"/>
      <c r="O324" s="20"/>
      <c r="P324" s="20"/>
    </row>
    <row r="325">
      <c r="A325" s="28"/>
      <c r="B325" s="93"/>
      <c r="C325" s="114" t="str">
        <f t="array" ref="C325">ifs(and(isblank($A325),isblank($B325)),"", not(iserror(vlookup($A325&amp;$B325,'3) Release_Label'!$D:$D&amp;'3) Release_Label'!$E:$E,1,0))),vlookup($A325&amp;$B325,{'3) Release_Label'!$D:$D&amp;'3) Release_Label'!$E:$E,'3) Release_Label'!$F:$F},2,0),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D325" s="114" t="str">
        <f t="array" ref="D325">ifs(and(isblank($A325),isblank($B325)),"", not(iserror(vlookup($A325&amp;$B325,'3) Release_Label'!$D:$D&amp;'3) Release_Label'!$E:$E,1,0))),vlookup($A325&amp;$B325,{'3) Release_Label'!$D:$D&amp;'3) Release_Label'!$E:$E,'3) Release_Label'!$H:$H},2,0),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E325" s="128" t="str">
        <f t="shared" si="3"/>
        <v/>
      </c>
      <c r="G325" s="93"/>
      <c r="H325" s="133"/>
      <c r="J325" s="20"/>
      <c r="K325" s="94"/>
      <c r="L325" s="20"/>
      <c r="N325" s="20"/>
      <c r="O325" s="20"/>
      <c r="P325" s="20"/>
    </row>
    <row r="326">
      <c r="A326" s="28"/>
      <c r="B326" s="93"/>
      <c r="C326" s="114" t="str">
        <f t="array" ref="C326">ifs(and(isblank($A326),isblank($B326)),"", not(iserror(vlookup($A326&amp;$B326,'3) Release_Label'!$D:$D&amp;'3) Release_Label'!$E:$E,1,0))),vlookup($A326&amp;$B326,{'3) Release_Label'!$D:$D&amp;'3) Release_Label'!$E:$E,'3) Release_Label'!$F:$F},2,0),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D326" s="114" t="str">
        <f t="array" ref="D326">ifs(and(isblank($A326),isblank($B326)),"", not(iserror(vlookup($A326&amp;$B326,'3) Release_Label'!$D:$D&amp;'3) Release_Label'!$E:$E,1,0))),vlookup($A326&amp;$B326,{'3) Release_Label'!$D:$D&amp;'3) Release_Label'!$E:$E,'3) Release_Label'!$H:$H},2,0),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E326" s="128" t="str">
        <f t="shared" si="3"/>
        <v/>
      </c>
      <c r="G326" s="93"/>
      <c r="H326" s="133"/>
      <c r="J326" s="20"/>
      <c r="K326" s="94"/>
      <c r="L326" s="20"/>
      <c r="N326" s="20"/>
      <c r="O326" s="20"/>
      <c r="P326" s="20"/>
    </row>
    <row r="327">
      <c r="A327" s="28"/>
      <c r="B327" s="93"/>
      <c r="C327" s="114" t="str">
        <f t="array" ref="C327">ifs(and(isblank($A327),isblank($B327)),"", not(iserror(vlookup($A327&amp;$B327,'3) Release_Label'!$D:$D&amp;'3) Release_Label'!$E:$E,1,0))),vlookup($A327&amp;$B327,{'3) Release_Label'!$D:$D&amp;'3) Release_Label'!$E:$E,'3) Release_Label'!$F:$F},2,0),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D327" s="114" t="str">
        <f t="array" ref="D327">ifs(and(isblank($A327),isblank($B327)),"", not(iserror(vlookup($A327&amp;$B327,'3) Release_Label'!$D:$D&amp;'3) Release_Label'!$E:$E,1,0))),vlookup($A327&amp;$B327,{'3) Release_Label'!$D:$D&amp;'3) Release_Label'!$E:$E,'3) Release_Label'!$H:$H},2,0),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E327" s="128" t="str">
        <f t="shared" si="3"/>
        <v/>
      </c>
      <c r="G327" s="93"/>
      <c r="H327" s="133"/>
      <c r="J327" s="20"/>
      <c r="K327" s="94"/>
      <c r="L327" s="20"/>
      <c r="N327" s="20"/>
      <c r="O327" s="20"/>
      <c r="P327" s="20"/>
    </row>
    <row r="328">
      <c r="A328" s="28"/>
      <c r="B328" s="93"/>
      <c r="C328" s="114" t="str">
        <f t="array" ref="C328">ifs(and(isblank($A328),isblank($B328)),"", not(iserror(vlookup($A328&amp;$B328,'3) Release_Label'!$D:$D&amp;'3) Release_Label'!$E:$E,1,0))),vlookup($A328&amp;$B328,{'3) Release_Label'!$D:$D&amp;'3) Release_Label'!$E:$E,'3) Release_Label'!$F:$F},2,0),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D328" s="114" t="str">
        <f t="array" ref="D328">ifs(and(isblank($A328),isblank($B328)),"", not(iserror(vlookup($A328&amp;$B328,'3) Release_Label'!$D:$D&amp;'3) Release_Label'!$E:$E,1,0))),vlookup($A328&amp;$B328,{'3) Release_Label'!$D:$D&amp;'3) Release_Label'!$E:$E,'3) Release_Label'!$H:$H},2,0),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E328" s="128" t="str">
        <f t="shared" si="3"/>
        <v/>
      </c>
      <c r="G328" s="93"/>
      <c r="H328" s="133"/>
      <c r="J328" s="20"/>
      <c r="K328" s="94"/>
      <c r="L328" s="20"/>
      <c r="N328" s="20"/>
      <c r="O328" s="20"/>
      <c r="P328" s="20"/>
    </row>
    <row r="329">
      <c r="A329" s="28"/>
      <c r="B329" s="93"/>
      <c r="C329" s="114" t="str">
        <f t="array" ref="C329">ifs(and(isblank($A329),isblank($B329)),"", not(iserror(vlookup($A329&amp;$B329,'3) Release_Label'!$D:$D&amp;'3) Release_Label'!$E:$E,1,0))),vlookup($A329&amp;$B329,{'3) Release_Label'!$D:$D&amp;'3) Release_Label'!$E:$E,'3) Release_Label'!$F:$F},2,0),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D329" s="114" t="str">
        <f t="array" ref="D329">ifs(and(isblank($A329),isblank($B329)),"", not(iserror(vlookup($A329&amp;$B329,'3) Release_Label'!$D:$D&amp;'3) Release_Label'!$E:$E,1,0))),vlookup($A329&amp;$B329,{'3) Release_Label'!$D:$D&amp;'3) Release_Label'!$E:$E,'3) Release_Label'!$H:$H},2,0),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E329" s="128" t="str">
        <f t="shared" si="3"/>
        <v/>
      </c>
      <c r="G329" s="93"/>
      <c r="H329" s="133"/>
      <c r="J329" s="20"/>
      <c r="K329" s="94"/>
      <c r="L329" s="20"/>
      <c r="N329" s="20"/>
      <c r="O329" s="20"/>
      <c r="P329" s="20"/>
    </row>
    <row r="330">
      <c r="A330" s="28"/>
      <c r="B330" s="93"/>
      <c r="C330" s="114" t="str">
        <f t="array" ref="C330">ifs(and(isblank($A330),isblank($B330)),"", not(iserror(vlookup($A330&amp;$B330,'3) Release_Label'!$D:$D&amp;'3) Release_Label'!$E:$E,1,0))),vlookup($A330&amp;$B330,{'3) Release_Label'!$D:$D&amp;'3) Release_Label'!$E:$E,'3) Release_Label'!$F:$F},2,0),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D330" s="114" t="str">
        <f t="array" ref="D330">ifs(and(isblank($A330),isblank($B330)),"", not(iserror(vlookup($A330&amp;$B330,'3) Release_Label'!$D:$D&amp;'3) Release_Label'!$E:$E,1,0))),vlookup($A330&amp;$B330,{'3) Release_Label'!$D:$D&amp;'3) Release_Label'!$E:$E,'3) Release_Label'!$H:$H},2,0),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E330" s="128" t="str">
        <f t="shared" si="3"/>
        <v/>
      </c>
      <c r="G330" s="93"/>
      <c r="H330" s="133"/>
      <c r="J330" s="20"/>
      <c r="K330" s="94"/>
      <c r="L330" s="20"/>
      <c r="N330" s="20"/>
      <c r="O330" s="20"/>
      <c r="P330" s="20"/>
    </row>
    <row r="331">
      <c r="A331" s="28"/>
      <c r="B331" s="93"/>
      <c r="C331" s="114" t="str">
        <f t="array" ref="C331">ifs(and(isblank($A331),isblank($B331)),"", not(iserror(vlookup($A331&amp;$B331,'3) Release_Label'!$D:$D&amp;'3) Release_Label'!$E:$E,1,0))),vlookup($A331&amp;$B331,{'3) Release_Label'!$D:$D&amp;'3) Release_Label'!$E:$E,'3) Release_Label'!$F:$F},2,0),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D331" s="114" t="str">
        <f t="array" ref="D331">ifs(and(isblank($A331),isblank($B331)),"", not(iserror(vlookup($A331&amp;$B331,'3) Release_Label'!$D:$D&amp;'3) Release_Label'!$E:$E,1,0))),vlookup($A331&amp;$B331,{'3) Release_Label'!$D:$D&amp;'3) Release_Label'!$E:$E,'3) Release_Label'!$H:$H},2,0),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E331" s="128" t="str">
        <f t="shared" si="3"/>
        <v/>
      </c>
      <c r="G331" s="93"/>
      <c r="H331" s="133"/>
      <c r="J331" s="20"/>
      <c r="K331" s="94"/>
      <c r="L331" s="20"/>
      <c r="N331" s="20"/>
      <c r="O331" s="20"/>
      <c r="P331" s="20"/>
    </row>
    <row r="332">
      <c r="A332" s="28"/>
      <c r="B332" s="93"/>
      <c r="C332" s="114" t="str">
        <f t="array" ref="C332">ifs(and(isblank($A332),isblank($B332)),"", not(iserror(vlookup($A332&amp;$B332,'3) Release_Label'!$D:$D&amp;'3) Release_Label'!$E:$E,1,0))),vlookup($A332&amp;$B332,{'3) Release_Label'!$D:$D&amp;'3) Release_Label'!$E:$E,'3) Release_Label'!$F:$F},2,0),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D332" s="114" t="str">
        <f t="array" ref="D332">ifs(and(isblank($A332),isblank($B332)),"", not(iserror(vlookup($A332&amp;$B332,'3) Release_Label'!$D:$D&amp;'3) Release_Label'!$E:$E,1,0))),vlookup($A332&amp;$B332,{'3) Release_Label'!$D:$D&amp;'3) Release_Label'!$E:$E,'3) Release_Label'!$H:$H},2,0),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E332" s="128" t="str">
        <f t="shared" si="3"/>
        <v/>
      </c>
      <c r="G332" s="93"/>
      <c r="H332" s="133"/>
      <c r="J332" s="20"/>
      <c r="K332" s="94"/>
      <c r="L332" s="20"/>
      <c r="N332" s="20"/>
      <c r="O332" s="20"/>
      <c r="P332" s="20"/>
    </row>
    <row r="333">
      <c r="A333" s="28"/>
      <c r="B333" s="93"/>
      <c r="C333" s="114" t="str">
        <f t="array" ref="C333">ifs(and(isblank($A333),isblank($B333)),"", not(iserror(vlookup($A333&amp;$B333,'3) Release_Label'!$D:$D&amp;'3) Release_Label'!$E:$E,1,0))),vlookup($A333&amp;$B333,{'3) Release_Label'!$D:$D&amp;'3) Release_Label'!$E:$E,'3) Release_Label'!$F:$F},2,0),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D333" s="114" t="str">
        <f t="array" ref="D333">ifs(and(isblank($A333),isblank($B333)),"", not(iserror(vlookup($A333&amp;$B333,'3) Release_Label'!$D:$D&amp;'3) Release_Label'!$E:$E,1,0))),vlookup($A333&amp;$B333,{'3) Release_Label'!$D:$D&amp;'3) Release_Label'!$E:$E,'3) Release_Label'!$H:$H},2,0),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E333" s="128" t="str">
        <f t="shared" si="3"/>
        <v/>
      </c>
      <c r="G333" s="93"/>
      <c r="H333" s="133"/>
      <c r="J333" s="20"/>
      <c r="K333" s="94"/>
      <c r="L333" s="20"/>
      <c r="N333" s="20"/>
      <c r="O333" s="20"/>
      <c r="P333" s="20"/>
    </row>
    <row r="334">
      <c r="A334" s="28"/>
      <c r="B334" s="93"/>
      <c r="C334" s="114" t="str">
        <f t="array" ref="C334">ifs(and(isblank($A334),isblank($B334)),"", not(iserror(vlookup($A334&amp;$B334,'3) Release_Label'!$D:$D&amp;'3) Release_Label'!$E:$E,1,0))),vlookup($A334&amp;$B334,{'3) Release_Label'!$D:$D&amp;'3) Release_Label'!$E:$E,'3) Release_Label'!$F:$F},2,0),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D334" s="114" t="str">
        <f t="array" ref="D334">ifs(and(isblank($A334),isblank($B334)),"", not(iserror(vlookup($A334&amp;$B334,'3) Release_Label'!$D:$D&amp;'3) Release_Label'!$E:$E,1,0))),vlookup($A334&amp;$B334,{'3) Release_Label'!$D:$D&amp;'3) Release_Label'!$E:$E,'3) Release_Label'!$H:$H},2,0),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E334" s="128" t="str">
        <f t="shared" si="3"/>
        <v/>
      </c>
      <c r="G334" s="93"/>
      <c r="H334" s="133"/>
      <c r="J334" s="20"/>
      <c r="K334" s="94"/>
      <c r="L334" s="20"/>
      <c r="N334" s="20"/>
      <c r="O334" s="20"/>
      <c r="P334" s="20"/>
    </row>
    <row r="335">
      <c r="A335" s="28"/>
      <c r="B335" s="93"/>
      <c r="C335" s="114" t="str">
        <f t="array" ref="C335">ifs(and(isblank($A335),isblank($B335)),"", not(iserror(vlookup($A335&amp;$B335,'3) Release_Label'!$D:$D&amp;'3) Release_Label'!$E:$E,1,0))),vlookup($A335&amp;$B335,{'3) Release_Label'!$D:$D&amp;'3) Release_Label'!$E:$E,'3) Release_Label'!$F:$F},2,0),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D335" s="114" t="str">
        <f t="array" ref="D335">ifs(and(isblank($A335),isblank($B335)),"", not(iserror(vlookup($A335&amp;$B335,'3) Release_Label'!$D:$D&amp;'3) Release_Label'!$E:$E,1,0))),vlookup($A335&amp;$B335,{'3) Release_Label'!$D:$D&amp;'3) Release_Label'!$E:$E,'3) Release_Label'!$H:$H},2,0),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E335" s="128" t="str">
        <f t="shared" si="3"/>
        <v/>
      </c>
      <c r="G335" s="93"/>
      <c r="H335" s="133"/>
      <c r="J335" s="20"/>
      <c r="K335" s="94"/>
      <c r="L335" s="20"/>
      <c r="N335" s="20"/>
      <c r="O335" s="20"/>
      <c r="P335" s="20"/>
    </row>
    <row r="336">
      <c r="A336" s="28"/>
      <c r="B336" s="93"/>
      <c r="C336" s="114" t="str">
        <f t="array" ref="C336">ifs(and(isblank($A336),isblank($B336)),"", not(iserror(vlookup($A336&amp;$B336,'3) Release_Label'!$D:$D&amp;'3) Release_Label'!$E:$E,1,0))),vlookup($A336&amp;$B336,{'3) Release_Label'!$D:$D&amp;'3) Release_Label'!$E:$E,'3) Release_Label'!$F:$F},2,0),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D336" s="114" t="str">
        <f t="array" ref="D336">ifs(and(isblank($A336),isblank($B336)),"", not(iserror(vlookup($A336&amp;$B336,'3) Release_Label'!$D:$D&amp;'3) Release_Label'!$E:$E,1,0))),vlookup($A336&amp;$B336,{'3) Release_Label'!$D:$D&amp;'3) Release_Label'!$E:$E,'3) Release_Label'!$H:$H},2,0),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E336" s="128" t="str">
        <f t="shared" si="3"/>
        <v/>
      </c>
      <c r="G336" s="93"/>
      <c r="H336" s="133"/>
      <c r="J336" s="20"/>
      <c r="K336" s="94"/>
      <c r="L336" s="20"/>
      <c r="N336" s="20"/>
      <c r="O336" s="20"/>
      <c r="P336" s="20"/>
    </row>
    <row r="337">
      <c r="A337" s="28"/>
      <c r="B337" s="93"/>
      <c r="C337" s="114" t="str">
        <f t="array" ref="C337">ifs(and(isblank($A337),isblank($B337)),"", not(iserror(vlookup($A337&amp;$B337,'3) Release_Label'!$D:$D&amp;'3) Release_Label'!$E:$E,1,0))),vlookup($A337&amp;$B337,{'3) Release_Label'!$D:$D&amp;'3) Release_Label'!$E:$E,'3) Release_Label'!$F:$F},2,0),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D337" s="114" t="str">
        <f t="array" ref="D337">ifs(and(isblank($A337),isblank($B337)),"", not(iserror(vlookup($A337&amp;$B337,'3) Release_Label'!$D:$D&amp;'3) Release_Label'!$E:$E,1,0))),vlookup($A337&amp;$B337,{'3) Release_Label'!$D:$D&amp;'3) Release_Label'!$E:$E,'3) Release_Label'!$H:$H},2,0),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E337" s="128" t="str">
        <f t="shared" si="3"/>
        <v/>
      </c>
      <c r="G337" s="93"/>
      <c r="H337" s="133"/>
      <c r="J337" s="20"/>
      <c r="K337" s="94"/>
      <c r="L337" s="20"/>
      <c r="N337" s="20"/>
      <c r="O337" s="20"/>
      <c r="P337" s="20"/>
    </row>
    <row r="338">
      <c r="A338" s="28"/>
      <c r="B338" s="93"/>
      <c r="C338" s="114" t="str">
        <f t="array" ref="C338">ifs(and(isblank($A338),isblank($B338)),"", not(iserror(vlookup($A338&amp;$B338,'3) Release_Label'!$D:$D&amp;'3) Release_Label'!$E:$E,1,0))),vlookup($A338&amp;$B338,{'3) Release_Label'!$D:$D&amp;'3) Release_Label'!$E:$E,'3) Release_Label'!$F:$F},2,0),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D338" s="114" t="str">
        <f t="array" ref="D338">ifs(and(isblank($A338),isblank($B338)),"", not(iserror(vlookup($A338&amp;$B338,'3) Release_Label'!$D:$D&amp;'3) Release_Label'!$E:$E,1,0))),vlookup($A338&amp;$B338,{'3) Release_Label'!$D:$D&amp;'3) Release_Label'!$E:$E,'3) Release_Label'!$H:$H},2,0),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E338" s="128" t="str">
        <f t="shared" si="3"/>
        <v/>
      </c>
      <c r="G338" s="93"/>
      <c r="H338" s="133"/>
      <c r="J338" s="20"/>
      <c r="K338" s="94"/>
      <c r="L338" s="20"/>
      <c r="N338" s="20"/>
      <c r="O338" s="20"/>
      <c r="P338" s="20"/>
    </row>
    <row r="339">
      <c r="A339" s="28"/>
      <c r="B339" s="93"/>
      <c r="C339" s="114" t="str">
        <f t="array" ref="C339">ifs(and(isblank($A339),isblank($B339)),"", not(iserror(vlookup($A339&amp;$B339,'3) Release_Label'!$D:$D&amp;'3) Release_Label'!$E:$E,1,0))),vlookup($A339&amp;$B339,{'3) Release_Label'!$D:$D&amp;'3) Release_Label'!$E:$E,'3) Release_Label'!$F:$F},2,0),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D339" s="114" t="str">
        <f t="array" ref="D339">ifs(and(isblank($A339),isblank($B339)),"", not(iserror(vlookup($A339&amp;$B339,'3) Release_Label'!$D:$D&amp;'3) Release_Label'!$E:$E,1,0))),vlookup($A339&amp;$B339,{'3) Release_Label'!$D:$D&amp;'3) Release_Label'!$E:$E,'3) Release_Label'!$H:$H},2,0),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E339" s="128" t="str">
        <f t="shared" si="3"/>
        <v/>
      </c>
      <c r="G339" s="93"/>
      <c r="H339" s="133"/>
      <c r="J339" s="20"/>
      <c r="K339" s="94"/>
      <c r="L339" s="20"/>
      <c r="N339" s="20"/>
      <c r="O339" s="20"/>
      <c r="P339" s="20"/>
    </row>
    <row r="340">
      <c r="A340" s="28"/>
      <c r="B340" s="93"/>
      <c r="C340" s="114" t="str">
        <f t="array" ref="C340">ifs(and(isblank($A340),isblank($B340)),"", not(iserror(vlookup($A340&amp;$B340,'3) Release_Label'!$D:$D&amp;'3) Release_Label'!$E:$E,1,0))),vlookup($A340&amp;$B340,{'3) Release_Label'!$D:$D&amp;'3) Release_Label'!$E:$E,'3) Release_Label'!$F:$F},2,0),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D340" s="114" t="str">
        <f t="array" ref="D340">ifs(and(isblank($A340),isblank($B340)),"", not(iserror(vlookup($A340&amp;$B340,'3) Release_Label'!$D:$D&amp;'3) Release_Label'!$E:$E,1,0))),vlookup($A340&amp;$B340,{'3) Release_Label'!$D:$D&amp;'3) Release_Label'!$E:$E,'3) Release_Label'!$H:$H},2,0),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E340" s="128" t="str">
        <f t="shared" si="3"/>
        <v/>
      </c>
      <c r="G340" s="93"/>
      <c r="H340" s="133"/>
      <c r="J340" s="20"/>
      <c r="K340" s="94"/>
      <c r="L340" s="20"/>
      <c r="N340" s="20"/>
      <c r="O340" s="20"/>
      <c r="P340" s="20"/>
    </row>
    <row r="341">
      <c r="A341" s="28"/>
      <c r="B341" s="93"/>
      <c r="C341" s="114" t="str">
        <f t="array" ref="C341">ifs(and(isblank($A341),isblank($B341)),"", not(iserror(vlookup($A341&amp;$B341,'3) Release_Label'!$D:$D&amp;'3) Release_Label'!$E:$E,1,0))),vlookup($A341&amp;$B341,{'3) Release_Label'!$D:$D&amp;'3) Release_Label'!$E:$E,'3) Release_Label'!$F:$F},2,0),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D341" s="114" t="str">
        <f t="array" ref="D341">ifs(and(isblank($A341),isblank($B341)),"", not(iserror(vlookup($A341&amp;$B341,'3) Release_Label'!$D:$D&amp;'3) Release_Label'!$E:$E,1,0))),vlookup($A341&amp;$B341,{'3) Release_Label'!$D:$D&amp;'3) Release_Label'!$E:$E,'3) Release_Label'!$H:$H},2,0),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E341" s="128" t="str">
        <f t="shared" si="3"/>
        <v/>
      </c>
      <c r="G341" s="93"/>
      <c r="H341" s="133"/>
      <c r="J341" s="20"/>
      <c r="K341" s="94"/>
      <c r="L341" s="20"/>
      <c r="N341" s="20"/>
      <c r="O341" s="20"/>
      <c r="P341" s="20"/>
    </row>
    <row r="342">
      <c r="A342" s="28"/>
      <c r="B342" s="93"/>
      <c r="C342" s="114" t="str">
        <f t="array" ref="C342">ifs(and(isblank($A342),isblank($B342)),"", not(iserror(vlookup($A342&amp;$B342,'3) Release_Label'!$D:$D&amp;'3) Release_Label'!$E:$E,1,0))),vlookup($A342&amp;$B342,{'3) Release_Label'!$D:$D&amp;'3) Release_Label'!$E:$E,'3) Release_Label'!$F:$F},2,0),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D342" s="114" t="str">
        <f t="array" ref="D342">ifs(and(isblank($A342),isblank($B342)),"", not(iserror(vlookup($A342&amp;$B342,'3) Release_Label'!$D:$D&amp;'3) Release_Label'!$E:$E,1,0))),vlookup($A342&amp;$B342,{'3) Release_Label'!$D:$D&amp;'3) Release_Label'!$E:$E,'3) Release_Label'!$H:$H},2,0),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E342" s="128" t="str">
        <f t="shared" si="3"/>
        <v/>
      </c>
      <c r="G342" s="93"/>
      <c r="H342" s="133"/>
      <c r="J342" s="20"/>
      <c r="K342" s="94"/>
      <c r="L342" s="20"/>
      <c r="N342" s="20"/>
      <c r="O342" s="20"/>
      <c r="P342" s="20"/>
    </row>
    <row r="343">
      <c r="A343" s="28"/>
      <c r="B343" s="93"/>
      <c r="C343" s="114" t="str">
        <f t="array" ref="C343">ifs(and(isblank($A343),isblank($B343)),"", not(iserror(vlookup($A343&amp;$B343,'3) Release_Label'!$D:$D&amp;'3) Release_Label'!$E:$E,1,0))),vlookup($A343&amp;$B343,{'3) Release_Label'!$D:$D&amp;'3) Release_Label'!$E:$E,'3) Release_Label'!$F:$F},2,0),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D343" s="114" t="str">
        <f t="array" ref="D343">ifs(and(isblank($A343),isblank($B343)),"", not(iserror(vlookup($A343&amp;$B343,'3) Release_Label'!$D:$D&amp;'3) Release_Label'!$E:$E,1,0))),vlookup($A343&amp;$B343,{'3) Release_Label'!$D:$D&amp;'3) Release_Label'!$E:$E,'3) Release_Label'!$H:$H},2,0),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E343" s="128" t="str">
        <f t="shared" si="3"/>
        <v/>
      </c>
      <c r="G343" s="93"/>
      <c r="H343" s="133"/>
      <c r="J343" s="20"/>
      <c r="K343" s="94"/>
      <c r="L343" s="20"/>
      <c r="N343" s="20"/>
      <c r="O343" s="20"/>
      <c r="P343" s="20"/>
    </row>
    <row r="344">
      <c r="A344" s="28"/>
      <c r="B344" s="93"/>
      <c r="C344" s="114" t="str">
        <f t="array" ref="C344">ifs(and(isblank($A344),isblank($B344)),"", not(iserror(vlookup($A344&amp;$B344,'3) Release_Label'!$D:$D&amp;'3) Release_Label'!$E:$E,1,0))),vlookup($A344&amp;$B344,{'3) Release_Label'!$D:$D&amp;'3) Release_Label'!$E:$E,'3) Release_Label'!$F:$F},2,0),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D344" s="114" t="str">
        <f t="array" ref="D344">ifs(and(isblank($A344),isblank($B344)),"", not(iserror(vlookup($A344&amp;$B344,'3) Release_Label'!$D:$D&amp;'3) Release_Label'!$E:$E,1,0))),vlookup($A344&amp;$B344,{'3) Release_Label'!$D:$D&amp;'3) Release_Label'!$E:$E,'3) Release_Label'!$H:$H},2,0),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E344" s="128" t="str">
        <f t="shared" si="3"/>
        <v/>
      </c>
      <c r="G344" s="93"/>
      <c r="H344" s="133"/>
      <c r="J344" s="20"/>
      <c r="K344" s="94"/>
      <c r="L344" s="20"/>
      <c r="N344" s="20"/>
      <c r="O344" s="20"/>
      <c r="P344" s="20"/>
    </row>
    <row r="345">
      <c r="A345" s="28"/>
      <c r="B345" s="93"/>
      <c r="C345" s="114" t="str">
        <f t="array" ref="C345">ifs(and(isblank($A345),isblank($B345)),"", not(iserror(vlookup($A345&amp;$B345,'3) Release_Label'!$D:$D&amp;'3) Release_Label'!$E:$E,1,0))),vlookup($A345&amp;$B345,{'3) Release_Label'!$D:$D&amp;'3) Release_Label'!$E:$E,'3) Release_Label'!$F:$F},2,0),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D345" s="114" t="str">
        <f t="array" ref="D345">ifs(and(isblank($A345),isblank($B345)),"", not(iserror(vlookup($A345&amp;$B345,'3) Release_Label'!$D:$D&amp;'3) Release_Label'!$E:$E,1,0))),vlookup($A345&amp;$B345,{'3) Release_Label'!$D:$D&amp;'3) Release_Label'!$E:$E,'3) Release_Label'!$H:$H},2,0),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E345" s="128" t="str">
        <f t="shared" si="3"/>
        <v/>
      </c>
      <c r="G345" s="93"/>
      <c r="H345" s="133"/>
      <c r="J345" s="20"/>
      <c r="K345" s="94"/>
      <c r="L345" s="20"/>
      <c r="N345" s="20"/>
      <c r="O345" s="20"/>
      <c r="P345" s="20"/>
    </row>
    <row r="346">
      <c r="A346" s="28"/>
      <c r="B346" s="93"/>
      <c r="C346" s="114" t="str">
        <f t="array" ref="C346">ifs(and(isblank($A346),isblank($B346)),"", not(iserror(vlookup($A346&amp;$B346,'3) Release_Label'!$D:$D&amp;'3) Release_Label'!$E:$E,1,0))),vlookup($A346&amp;$B346,{'3) Release_Label'!$D:$D&amp;'3) Release_Label'!$E:$E,'3) Release_Label'!$F:$F},2,0),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D346" s="114" t="str">
        <f t="array" ref="D346">ifs(and(isblank($A346),isblank($B346)),"", not(iserror(vlookup($A346&amp;$B346,'3) Release_Label'!$D:$D&amp;'3) Release_Label'!$E:$E,1,0))),vlookup($A346&amp;$B346,{'3) Release_Label'!$D:$D&amp;'3) Release_Label'!$E:$E,'3) Release_Label'!$H:$H},2,0),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E346" s="128" t="str">
        <f t="shared" si="3"/>
        <v/>
      </c>
      <c r="G346" s="93"/>
      <c r="H346" s="133"/>
      <c r="J346" s="20"/>
      <c r="K346" s="94"/>
      <c r="L346" s="20"/>
      <c r="N346" s="20"/>
      <c r="O346" s="20"/>
      <c r="P346" s="20"/>
    </row>
    <row r="347">
      <c r="A347" s="28"/>
      <c r="B347" s="93"/>
      <c r="C347" s="114" t="str">
        <f t="array" ref="C347">ifs(and(isblank($A347),isblank($B347)),"", not(iserror(vlookup($A347&amp;$B347,'3) Release_Label'!$D:$D&amp;'3) Release_Label'!$E:$E,1,0))),vlookup($A347&amp;$B347,{'3) Release_Label'!$D:$D&amp;'3) Release_Label'!$E:$E,'3) Release_Label'!$F:$F},2,0),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D347" s="114" t="str">
        <f t="array" ref="D347">ifs(and(isblank($A347),isblank($B347)),"", not(iserror(vlookup($A347&amp;$B347,'3) Release_Label'!$D:$D&amp;'3) Release_Label'!$E:$E,1,0))),vlookup($A347&amp;$B347,{'3) Release_Label'!$D:$D&amp;'3) Release_Label'!$E:$E,'3) Release_Label'!$H:$H},2,0),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E347" s="128" t="str">
        <f t="shared" si="3"/>
        <v/>
      </c>
      <c r="G347" s="93"/>
      <c r="H347" s="133"/>
      <c r="J347" s="20"/>
      <c r="K347" s="94"/>
      <c r="L347" s="20"/>
      <c r="N347" s="20"/>
      <c r="O347" s="20"/>
      <c r="P347" s="20"/>
    </row>
    <row r="348">
      <c r="A348" s="28"/>
      <c r="B348" s="93"/>
      <c r="C348" s="114" t="str">
        <f t="array" ref="C348">ifs(and(isblank($A348),isblank($B348)),"", not(iserror(vlookup($A348&amp;$B348,'3) Release_Label'!$D:$D&amp;'3) Release_Label'!$E:$E,1,0))),vlookup($A348&amp;$B348,{'3) Release_Label'!$D:$D&amp;'3) Release_Label'!$E:$E,'3) Release_Label'!$F:$F},2,0),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D348" s="114" t="str">
        <f t="array" ref="D348">ifs(and(isblank($A348),isblank($B348)),"", not(iserror(vlookup($A348&amp;$B348,'3) Release_Label'!$D:$D&amp;'3) Release_Label'!$E:$E,1,0))),vlookup($A348&amp;$B348,{'3) Release_Label'!$D:$D&amp;'3) Release_Label'!$E:$E,'3) Release_Label'!$H:$H},2,0),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E348" s="128" t="str">
        <f t="shared" si="3"/>
        <v/>
      </c>
      <c r="G348" s="93"/>
      <c r="H348" s="133"/>
      <c r="J348" s="20"/>
      <c r="K348" s="94"/>
      <c r="L348" s="20"/>
      <c r="N348" s="20"/>
      <c r="O348" s="20"/>
      <c r="P348" s="20"/>
    </row>
    <row r="349">
      <c r="A349" s="28"/>
      <c r="B349" s="93"/>
      <c r="C349" s="114" t="str">
        <f t="array" ref="C349">ifs(and(isblank($A349),isblank($B349)),"", not(iserror(vlookup($A349&amp;$B349,'3) Release_Label'!$D:$D&amp;'3) Release_Label'!$E:$E,1,0))),vlookup($A349&amp;$B349,{'3) Release_Label'!$D:$D&amp;'3) Release_Label'!$E:$E,'3) Release_Label'!$F:$F},2,0),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D349" s="114" t="str">
        <f t="array" ref="D349">ifs(and(isblank($A349),isblank($B349)),"", not(iserror(vlookup($A349&amp;$B349,'3) Release_Label'!$D:$D&amp;'3) Release_Label'!$E:$E,1,0))),vlookup($A349&amp;$B349,{'3) Release_Label'!$D:$D&amp;'3) Release_Label'!$E:$E,'3) Release_Label'!$H:$H},2,0),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E349" s="128" t="str">
        <f t="shared" si="3"/>
        <v/>
      </c>
      <c r="G349" s="93"/>
      <c r="H349" s="133"/>
      <c r="J349" s="20"/>
      <c r="K349" s="94"/>
      <c r="L349" s="20"/>
      <c r="N349" s="20"/>
      <c r="O349" s="20"/>
      <c r="P349" s="20"/>
    </row>
    <row r="350">
      <c r="A350" s="28"/>
      <c r="B350" s="93"/>
      <c r="C350" s="114" t="str">
        <f t="array" ref="C350">ifs(and(isblank($A350),isblank($B350)),"", not(iserror(vlookup($A350&amp;$B350,'3) Release_Label'!$D:$D&amp;'3) Release_Label'!$E:$E,1,0))),vlookup($A350&amp;$B350,{'3) Release_Label'!$D:$D&amp;'3) Release_Label'!$E:$E,'3) Release_Label'!$F:$F},2,0),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D350" s="114" t="str">
        <f t="array" ref="D350">ifs(and(isblank($A350),isblank($B350)),"", not(iserror(vlookup($A350&amp;$B350,'3) Release_Label'!$D:$D&amp;'3) Release_Label'!$E:$E,1,0))),vlookup($A350&amp;$B350,{'3) Release_Label'!$D:$D&amp;'3) Release_Label'!$E:$E,'3) Release_Label'!$H:$H},2,0),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E350" s="128" t="str">
        <f t="shared" si="3"/>
        <v/>
      </c>
      <c r="G350" s="93"/>
      <c r="H350" s="133"/>
      <c r="J350" s="20"/>
      <c r="K350" s="94"/>
      <c r="L350" s="20"/>
      <c r="N350" s="20"/>
      <c r="O350" s="20"/>
      <c r="P350" s="20"/>
    </row>
    <row r="351">
      <c r="A351" s="28"/>
      <c r="B351" s="93"/>
      <c r="C351" s="114" t="str">
        <f t="array" ref="C351">ifs(and(isblank($A351),isblank($B351)),"", not(iserror(vlookup($A351&amp;$B351,'3) Release_Label'!$D:$D&amp;'3) Release_Label'!$E:$E,1,0))),vlookup($A351&amp;$B351,{'3) Release_Label'!$D:$D&amp;'3) Release_Label'!$E:$E,'3) Release_Label'!$F:$F},2,0),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D351" s="114" t="str">
        <f t="array" ref="D351">ifs(and(isblank($A351),isblank($B351)),"", not(iserror(vlookup($A351&amp;$B351,'3) Release_Label'!$D:$D&amp;'3) Release_Label'!$E:$E,1,0))),vlookup($A351&amp;$B351,{'3) Release_Label'!$D:$D&amp;'3) Release_Label'!$E:$E,'3) Release_Label'!$H:$H},2,0),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E351" s="128" t="str">
        <f t="shared" si="3"/>
        <v/>
      </c>
      <c r="G351" s="93"/>
      <c r="H351" s="133"/>
      <c r="J351" s="20"/>
      <c r="K351" s="94"/>
      <c r="L351" s="20"/>
      <c r="N351" s="20"/>
      <c r="O351" s="20"/>
      <c r="P351" s="20"/>
    </row>
    <row r="352">
      <c r="A352" s="28"/>
      <c r="B352" s="93"/>
      <c r="C352" s="114" t="str">
        <f t="array" ref="C352">ifs(and(isblank($A352),isblank($B352)),"", not(iserror(vlookup($A352&amp;$B352,'3) Release_Label'!$D:$D&amp;'3) Release_Label'!$E:$E,1,0))),vlookup($A352&amp;$B352,{'3) Release_Label'!$D:$D&amp;'3) Release_Label'!$E:$E,'3) Release_Label'!$F:$F},2,0),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D352" s="114" t="str">
        <f t="array" ref="D352">ifs(and(isblank($A352),isblank($B352)),"", not(iserror(vlookup($A352&amp;$B352,'3) Release_Label'!$D:$D&amp;'3) Release_Label'!$E:$E,1,0))),vlookup($A352&amp;$B352,{'3) Release_Label'!$D:$D&amp;'3) Release_Label'!$E:$E,'3) Release_Label'!$H:$H},2,0),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E352" s="128" t="str">
        <f t="shared" si="3"/>
        <v/>
      </c>
      <c r="G352" s="93"/>
      <c r="H352" s="133"/>
      <c r="J352" s="20"/>
      <c r="K352" s="94"/>
      <c r="L352" s="20"/>
      <c r="N352" s="20"/>
      <c r="O352" s="20"/>
      <c r="P352" s="20"/>
    </row>
    <row r="353">
      <c r="A353" s="28"/>
      <c r="B353" s="93"/>
      <c r="C353" s="114" t="str">
        <f t="array" ref="C353">ifs(and(isblank($A353),isblank($B353)),"", not(iserror(vlookup($A353&amp;$B353,'3) Release_Label'!$D:$D&amp;'3) Release_Label'!$E:$E,1,0))),vlookup($A353&amp;$B353,{'3) Release_Label'!$D:$D&amp;'3) Release_Label'!$E:$E,'3) Release_Label'!$F:$F},2,0),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D353" s="114" t="str">
        <f t="array" ref="D353">ifs(and(isblank($A353),isblank($B353)),"", not(iserror(vlookup($A353&amp;$B353,'3) Release_Label'!$D:$D&amp;'3) Release_Label'!$E:$E,1,0))),vlookup($A353&amp;$B353,{'3) Release_Label'!$D:$D&amp;'3) Release_Label'!$E:$E,'3) Release_Label'!$H:$H},2,0),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E353" s="128" t="str">
        <f t="shared" si="3"/>
        <v/>
      </c>
      <c r="G353" s="93"/>
      <c r="H353" s="133"/>
      <c r="J353" s="20"/>
      <c r="K353" s="94"/>
      <c r="L353" s="20"/>
      <c r="N353" s="20"/>
      <c r="O353" s="20"/>
      <c r="P353" s="20"/>
    </row>
    <row r="354">
      <c r="A354" s="28"/>
      <c r="B354" s="93"/>
      <c r="C354" s="114" t="str">
        <f t="array" ref="C354">ifs(and(isblank($A354),isblank($B354)),"", not(iserror(vlookup($A354&amp;$B354,'3) Release_Label'!$D:$D&amp;'3) Release_Label'!$E:$E,1,0))),vlookup($A354&amp;$B354,{'3) Release_Label'!$D:$D&amp;'3) Release_Label'!$E:$E,'3) Release_Label'!$F:$F},2,0),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D354" s="114" t="str">
        <f t="array" ref="D354">ifs(and(isblank($A354),isblank($B354)),"", not(iserror(vlookup($A354&amp;$B354,'3) Release_Label'!$D:$D&amp;'3) Release_Label'!$E:$E,1,0))),vlookup($A354&amp;$B354,{'3) Release_Label'!$D:$D&amp;'3) Release_Label'!$E:$E,'3) Release_Label'!$H:$H},2,0),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E354" s="128" t="str">
        <f t="shared" si="3"/>
        <v/>
      </c>
      <c r="G354" s="93"/>
      <c r="H354" s="133"/>
      <c r="J354" s="20"/>
      <c r="K354" s="94"/>
      <c r="L354" s="20"/>
      <c r="N354" s="20"/>
      <c r="O354" s="20"/>
      <c r="P354" s="20"/>
    </row>
    <row r="355">
      <c r="A355" s="28"/>
      <c r="B355" s="93"/>
      <c r="C355" s="114" t="str">
        <f t="array" ref="C355">ifs(and(isblank($A355),isblank($B355)),"", not(iserror(vlookup($A355&amp;$B355,'3) Release_Label'!$D:$D&amp;'3) Release_Label'!$E:$E,1,0))),vlookup($A355&amp;$B355,{'3) Release_Label'!$D:$D&amp;'3) Release_Label'!$E:$E,'3) Release_Label'!$F:$F},2,0),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D355" s="114" t="str">
        <f t="array" ref="D355">ifs(and(isblank($A355),isblank($B355)),"", not(iserror(vlookup($A355&amp;$B355,'3) Release_Label'!$D:$D&amp;'3) Release_Label'!$E:$E,1,0))),vlookup($A355&amp;$B355,{'3) Release_Label'!$D:$D&amp;'3) Release_Label'!$E:$E,'3) Release_Label'!$H:$H},2,0),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E355" s="128" t="str">
        <f t="shared" si="3"/>
        <v/>
      </c>
      <c r="G355" s="93"/>
      <c r="H355" s="133"/>
      <c r="J355" s="20"/>
      <c r="K355" s="94"/>
      <c r="L355" s="20"/>
      <c r="N355" s="20"/>
      <c r="O355" s="20"/>
      <c r="P355" s="20"/>
    </row>
    <row r="356">
      <c r="A356" s="28"/>
      <c r="B356" s="93"/>
      <c r="C356" s="114" t="str">
        <f t="array" ref="C356">ifs(and(isblank($A356),isblank($B356)),"", not(iserror(vlookup($A356&amp;$B356,'3) Release_Label'!$D:$D&amp;'3) Release_Label'!$E:$E,1,0))),vlookup($A356&amp;$B356,{'3) Release_Label'!$D:$D&amp;'3) Release_Label'!$E:$E,'3) Release_Label'!$F:$F},2,0),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D356" s="114" t="str">
        <f t="array" ref="D356">ifs(and(isblank($A356),isblank($B356)),"", not(iserror(vlookup($A356&amp;$B356,'3) Release_Label'!$D:$D&amp;'3) Release_Label'!$E:$E,1,0))),vlookup($A356&amp;$B356,{'3) Release_Label'!$D:$D&amp;'3) Release_Label'!$E:$E,'3) Release_Label'!$H:$H},2,0),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E356" s="128" t="str">
        <f t="shared" si="3"/>
        <v/>
      </c>
      <c r="G356" s="93"/>
      <c r="H356" s="133"/>
      <c r="J356" s="20"/>
      <c r="K356" s="94"/>
      <c r="L356" s="20"/>
      <c r="N356" s="20"/>
      <c r="O356" s="20"/>
      <c r="P356" s="20"/>
    </row>
    <row r="357">
      <c r="A357" s="28"/>
      <c r="B357" s="93"/>
      <c r="C357" s="114" t="str">
        <f t="array" ref="C357">ifs(and(isblank($A357),isblank($B357)),"", not(iserror(vlookup($A357&amp;$B357,'3) Release_Label'!$D:$D&amp;'3) Release_Label'!$E:$E,1,0))),vlookup($A357&amp;$B357,{'3) Release_Label'!$D:$D&amp;'3) Release_Label'!$E:$E,'3) Release_Label'!$F:$F},2,0),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D357" s="114" t="str">
        <f t="array" ref="D357">ifs(and(isblank($A357),isblank($B357)),"", not(iserror(vlookup($A357&amp;$B357,'3) Release_Label'!$D:$D&amp;'3) Release_Label'!$E:$E,1,0))),vlookup($A357&amp;$B357,{'3) Release_Label'!$D:$D&amp;'3) Release_Label'!$E:$E,'3) Release_Label'!$H:$H},2,0),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E357" s="128" t="str">
        <f t="shared" si="3"/>
        <v/>
      </c>
      <c r="G357" s="93"/>
      <c r="H357" s="133"/>
      <c r="J357" s="20"/>
      <c r="K357" s="94"/>
      <c r="L357" s="20"/>
      <c r="N357" s="20"/>
      <c r="O357" s="20"/>
      <c r="P357" s="20"/>
    </row>
    <row r="358">
      <c r="A358" s="28"/>
      <c r="B358" s="93"/>
      <c r="C358" s="114" t="str">
        <f t="array" ref="C358">ifs(and(isblank($A358),isblank($B358)),"", not(iserror(vlookup($A358&amp;$B358,'3) Release_Label'!$D:$D&amp;'3) Release_Label'!$E:$E,1,0))),vlookup($A358&amp;$B358,{'3) Release_Label'!$D:$D&amp;'3) Release_Label'!$E:$E,'3) Release_Label'!$F:$F},2,0),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D358" s="114" t="str">
        <f t="array" ref="D358">ifs(and(isblank($A358),isblank($B358)),"", not(iserror(vlookup($A358&amp;$B358,'3) Release_Label'!$D:$D&amp;'3) Release_Label'!$E:$E,1,0))),vlookup($A358&amp;$B358,{'3) Release_Label'!$D:$D&amp;'3) Release_Label'!$E:$E,'3) Release_Label'!$H:$H},2,0),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E358" s="128" t="str">
        <f t="shared" si="3"/>
        <v/>
      </c>
      <c r="G358" s="93"/>
      <c r="H358" s="133"/>
      <c r="J358" s="20"/>
      <c r="K358" s="94"/>
      <c r="L358" s="20"/>
      <c r="N358" s="20"/>
      <c r="O358" s="20"/>
      <c r="P358" s="20"/>
    </row>
    <row r="359">
      <c r="A359" s="28"/>
      <c r="B359" s="93"/>
      <c r="C359" s="114" t="str">
        <f t="array" ref="C359">ifs(and(isblank($A359),isblank($B359)),"", not(iserror(vlookup($A359&amp;$B359,'3) Release_Label'!$D:$D&amp;'3) Release_Label'!$E:$E,1,0))),vlookup($A359&amp;$B359,{'3) Release_Label'!$D:$D&amp;'3) Release_Label'!$E:$E,'3) Release_Label'!$F:$F},2,0),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D359" s="114" t="str">
        <f t="array" ref="D359">ifs(and(isblank($A359),isblank($B359)),"", not(iserror(vlookup($A359&amp;$B359,'3) Release_Label'!$D:$D&amp;'3) Release_Label'!$E:$E,1,0))),vlookup($A359&amp;$B359,{'3) Release_Label'!$D:$D&amp;'3) Release_Label'!$E:$E,'3) Release_Label'!$H:$H},2,0),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E359" s="128" t="str">
        <f t="shared" si="3"/>
        <v/>
      </c>
      <c r="G359" s="93"/>
      <c r="H359" s="133"/>
      <c r="J359" s="20"/>
      <c r="K359" s="94"/>
      <c r="L359" s="20"/>
      <c r="N359" s="20"/>
      <c r="O359" s="20"/>
      <c r="P359" s="20"/>
    </row>
    <row r="360">
      <c r="A360" s="28"/>
      <c r="B360" s="93"/>
      <c r="C360" s="114" t="str">
        <f t="array" ref="C360">ifs(and(isblank($A360),isblank($B360)),"", not(iserror(vlookup($A360&amp;$B360,'3) Release_Label'!$D:$D&amp;'3) Release_Label'!$E:$E,1,0))),vlookup($A360&amp;$B360,{'3) Release_Label'!$D:$D&amp;'3) Release_Label'!$E:$E,'3) Release_Label'!$F:$F},2,0),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D360" s="114" t="str">
        <f t="array" ref="D360">ifs(and(isblank($A360),isblank($B360)),"", not(iserror(vlookup($A360&amp;$B360,'3) Release_Label'!$D:$D&amp;'3) Release_Label'!$E:$E,1,0))),vlookup($A360&amp;$B360,{'3) Release_Label'!$D:$D&amp;'3) Release_Label'!$E:$E,'3) Release_Label'!$H:$H},2,0),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E360" s="128" t="str">
        <f t="shared" si="3"/>
        <v/>
      </c>
      <c r="G360" s="93"/>
      <c r="H360" s="133"/>
      <c r="J360" s="20"/>
      <c r="K360" s="94"/>
      <c r="L360" s="20"/>
      <c r="N360" s="20"/>
      <c r="O360" s="20"/>
      <c r="P360" s="20"/>
    </row>
    <row r="361">
      <c r="A361" s="28"/>
      <c r="B361" s="93"/>
      <c r="C361" s="114" t="str">
        <f t="array" ref="C361">ifs(and(isblank($A361),isblank($B361)),"", not(iserror(vlookup($A361&amp;$B361,'3) Release_Label'!$D:$D&amp;'3) Release_Label'!$E:$E,1,0))),vlookup($A361&amp;$B361,{'3) Release_Label'!$D:$D&amp;'3) Release_Label'!$E:$E,'3) Release_Label'!$F:$F},2,0),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D361" s="114" t="str">
        <f t="array" ref="D361">ifs(and(isblank($A361),isblank($B361)),"", not(iserror(vlookup($A361&amp;$B361,'3) Release_Label'!$D:$D&amp;'3) Release_Label'!$E:$E,1,0))),vlookup($A361&amp;$B361,{'3) Release_Label'!$D:$D&amp;'3) Release_Label'!$E:$E,'3) Release_Label'!$H:$H},2,0),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E361" s="128" t="str">
        <f t="shared" si="3"/>
        <v/>
      </c>
      <c r="G361" s="93"/>
      <c r="H361" s="133"/>
      <c r="J361" s="20"/>
      <c r="K361" s="94"/>
      <c r="L361" s="20"/>
      <c r="N361" s="20"/>
      <c r="O361" s="20"/>
      <c r="P361" s="20"/>
    </row>
    <row r="362">
      <c r="A362" s="28"/>
      <c r="B362" s="93"/>
      <c r="C362" s="114" t="str">
        <f t="array" ref="C362">ifs(and(isblank($A362),isblank($B362)),"", not(iserror(vlookup($A362&amp;$B362,'3) Release_Label'!$D:$D&amp;'3) Release_Label'!$E:$E,1,0))),vlookup($A362&amp;$B362,{'3) Release_Label'!$D:$D&amp;'3) Release_Label'!$E:$E,'3) Release_Label'!$F:$F},2,0),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D362" s="114" t="str">
        <f t="array" ref="D362">ifs(and(isblank($A362),isblank($B362)),"", not(iserror(vlookup($A362&amp;$B362,'3) Release_Label'!$D:$D&amp;'3) Release_Label'!$E:$E,1,0))),vlookup($A362&amp;$B362,{'3) Release_Label'!$D:$D&amp;'3) Release_Label'!$E:$E,'3) Release_Label'!$H:$H},2,0),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E362" s="128" t="str">
        <f t="shared" si="3"/>
        <v/>
      </c>
      <c r="G362" s="93"/>
      <c r="H362" s="133"/>
      <c r="J362" s="20"/>
      <c r="K362" s="94"/>
      <c r="L362" s="20"/>
      <c r="N362" s="20"/>
      <c r="O362" s="20"/>
      <c r="P362" s="20"/>
    </row>
    <row r="363">
      <c r="A363" s="28"/>
      <c r="B363" s="93"/>
      <c r="C363" s="114" t="str">
        <f t="array" ref="C363">ifs(and(isblank($A363),isblank($B363)),"", not(iserror(vlookup($A363&amp;$B363,'3) Release_Label'!$D:$D&amp;'3) Release_Label'!$E:$E,1,0))),vlookup($A363&amp;$B363,{'3) Release_Label'!$D:$D&amp;'3) Release_Label'!$E:$E,'3) Release_Label'!$F:$F},2,0),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D363" s="114" t="str">
        <f t="array" ref="D363">ifs(and(isblank($A363),isblank($B363)),"", not(iserror(vlookup($A363&amp;$B363,'3) Release_Label'!$D:$D&amp;'3) Release_Label'!$E:$E,1,0))),vlookup($A363&amp;$B363,{'3) Release_Label'!$D:$D&amp;'3) Release_Label'!$E:$E,'3) Release_Label'!$H:$H},2,0),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E363" s="128" t="str">
        <f t="shared" si="3"/>
        <v/>
      </c>
      <c r="G363" s="93"/>
      <c r="H363" s="133"/>
      <c r="J363" s="20"/>
      <c r="K363" s="94"/>
      <c r="L363" s="20"/>
      <c r="N363" s="20"/>
      <c r="O363" s="20"/>
      <c r="P363" s="20"/>
    </row>
    <row r="364">
      <c r="A364" s="28"/>
      <c r="B364" s="93"/>
      <c r="C364" s="114" t="str">
        <f t="array" ref="C364">ifs(and(isblank($A364),isblank($B364)),"", not(iserror(vlookup($A364&amp;$B364,'3) Release_Label'!$D:$D&amp;'3) Release_Label'!$E:$E,1,0))),vlookup($A364&amp;$B364,{'3) Release_Label'!$D:$D&amp;'3) Release_Label'!$E:$E,'3) Release_Label'!$F:$F},2,0),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D364" s="114" t="str">
        <f t="array" ref="D364">ifs(and(isblank($A364),isblank($B364)),"", not(iserror(vlookup($A364&amp;$B364,'3) Release_Label'!$D:$D&amp;'3) Release_Label'!$E:$E,1,0))),vlookup($A364&amp;$B364,{'3) Release_Label'!$D:$D&amp;'3) Release_Label'!$E:$E,'3) Release_Label'!$H:$H},2,0),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E364" s="128" t="str">
        <f t="shared" si="3"/>
        <v/>
      </c>
      <c r="G364" s="93"/>
      <c r="H364" s="133"/>
      <c r="J364" s="20"/>
      <c r="K364" s="94"/>
      <c r="L364" s="20"/>
      <c r="N364" s="20"/>
      <c r="O364" s="20"/>
      <c r="P364" s="20"/>
    </row>
    <row r="365">
      <c r="A365" s="28"/>
      <c r="B365" s="93"/>
      <c r="C365" s="114" t="str">
        <f t="array" ref="C365">ifs(and(isblank($A365),isblank($B365)),"", not(iserror(vlookup($A365&amp;$B365,'3) Release_Label'!$D:$D&amp;'3) Release_Label'!$E:$E,1,0))),vlookup($A365&amp;$B365,{'3) Release_Label'!$D:$D&amp;'3) Release_Label'!$E:$E,'3) Release_Label'!$F:$F},2,0),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D365" s="114" t="str">
        <f t="array" ref="D365">ifs(and(isblank($A365),isblank($B365)),"", not(iserror(vlookup($A365&amp;$B365,'3) Release_Label'!$D:$D&amp;'3) Release_Label'!$E:$E,1,0))),vlookup($A365&amp;$B365,{'3) Release_Label'!$D:$D&amp;'3) Release_Label'!$E:$E,'3) Release_Label'!$H:$H},2,0),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E365" s="128" t="str">
        <f t="shared" si="3"/>
        <v/>
      </c>
      <c r="G365" s="93"/>
      <c r="H365" s="133"/>
      <c r="J365" s="20"/>
      <c r="K365" s="94"/>
      <c r="L365" s="20"/>
      <c r="N365" s="20"/>
      <c r="O365" s="20"/>
      <c r="P365" s="20"/>
    </row>
    <row r="366">
      <c r="A366" s="28"/>
      <c r="B366" s="93"/>
      <c r="C366" s="114" t="str">
        <f t="array" ref="C366">ifs(and(isblank($A366),isblank($B366)),"", not(iserror(vlookup($A366&amp;$B366,'3) Release_Label'!$D:$D&amp;'3) Release_Label'!$E:$E,1,0))),vlookup($A366&amp;$B366,{'3) Release_Label'!$D:$D&amp;'3) Release_Label'!$E:$E,'3) Release_Label'!$F:$F},2,0),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D366" s="114" t="str">
        <f t="array" ref="D366">ifs(and(isblank($A366),isblank($B366)),"", not(iserror(vlookup($A366&amp;$B366,'3) Release_Label'!$D:$D&amp;'3) Release_Label'!$E:$E,1,0))),vlookup($A366&amp;$B366,{'3) Release_Label'!$D:$D&amp;'3) Release_Label'!$E:$E,'3) Release_Label'!$H:$H},2,0),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E366" s="128" t="str">
        <f t="shared" si="3"/>
        <v/>
      </c>
      <c r="G366" s="93"/>
      <c r="H366" s="133"/>
      <c r="J366" s="20"/>
      <c r="K366" s="94"/>
      <c r="L366" s="20"/>
      <c r="N366" s="20"/>
      <c r="O366" s="20"/>
      <c r="P366" s="20"/>
    </row>
    <row r="367">
      <c r="A367" s="28"/>
      <c r="B367" s="93"/>
      <c r="C367" s="114" t="str">
        <f t="array" ref="C367">ifs(and(isblank($A367),isblank($B367)),"", not(iserror(vlookup($A367&amp;$B367,'3) Release_Label'!$D:$D&amp;'3) Release_Label'!$E:$E,1,0))),vlookup($A367&amp;$B367,{'3) Release_Label'!$D:$D&amp;'3) Release_Label'!$E:$E,'3) Release_Label'!$F:$F},2,0),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D367" s="114" t="str">
        <f t="array" ref="D367">ifs(and(isblank($A367),isblank($B367)),"", not(iserror(vlookup($A367&amp;$B367,'3) Release_Label'!$D:$D&amp;'3) Release_Label'!$E:$E,1,0))),vlookup($A367&amp;$B367,{'3) Release_Label'!$D:$D&amp;'3) Release_Label'!$E:$E,'3) Release_Label'!$H:$H},2,0),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E367" s="128" t="str">
        <f t="shared" si="3"/>
        <v/>
      </c>
      <c r="G367" s="93"/>
      <c r="H367" s="133"/>
      <c r="J367" s="20"/>
      <c r="K367" s="94"/>
      <c r="L367" s="20"/>
      <c r="N367" s="20"/>
      <c r="O367" s="20"/>
      <c r="P367" s="20"/>
    </row>
    <row r="368">
      <c r="A368" s="28"/>
      <c r="B368" s="93"/>
      <c r="C368" s="114" t="str">
        <f t="array" ref="C368">ifs(and(isblank($A368),isblank($B368)),"", not(iserror(vlookup($A368&amp;$B368,'3) Release_Label'!$D:$D&amp;'3) Release_Label'!$E:$E,1,0))),vlookup($A368&amp;$B368,{'3) Release_Label'!$D:$D&amp;'3) Release_Label'!$E:$E,'3) Release_Label'!$F:$F},2,0),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D368" s="114" t="str">
        <f t="array" ref="D368">ifs(and(isblank($A368),isblank($B368)),"", not(iserror(vlookup($A368&amp;$B368,'3) Release_Label'!$D:$D&amp;'3) Release_Label'!$E:$E,1,0))),vlookup($A368&amp;$B368,{'3) Release_Label'!$D:$D&amp;'3) Release_Label'!$E:$E,'3) Release_Label'!$H:$H},2,0),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E368" s="128" t="str">
        <f t="shared" si="3"/>
        <v/>
      </c>
      <c r="G368" s="93"/>
      <c r="H368" s="133"/>
      <c r="J368" s="20"/>
      <c r="K368" s="94"/>
      <c r="L368" s="20"/>
      <c r="N368" s="20"/>
      <c r="O368" s="20"/>
      <c r="P368" s="20"/>
    </row>
    <row r="369">
      <c r="A369" s="28"/>
      <c r="B369" s="93"/>
      <c r="C369" s="114" t="str">
        <f t="array" ref="C369">ifs(and(isblank($A369),isblank($B369)),"", not(iserror(vlookup($A369&amp;$B369,'3) Release_Label'!$D:$D&amp;'3) Release_Label'!$E:$E,1,0))),vlookup($A369&amp;$B369,{'3) Release_Label'!$D:$D&amp;'3) Release_Label'!$E:$E,'3) Release_Label'!$F:$F},2,0),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D369" s="114" t="str">
        <f t="array" ref="D369">ifs(and(isblank($A369),isblank($B369)),"", not(iserror(vlookup($A369&amp;$B369,'3) Release_Label'!$D:$D&amp;'3) Release_Label'!$E:$E,1,0))),vlookup($A369&amp;$B369,{'3) Release_Label'!$D:$D&amp;'3) Release_Label'!$E:$E,'3) Release_Label'!$H:$H},2,0),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E369" s="128" t="str">
        <f t="shared" si="3"/>
        <v/>
      </c>
      <c r="G369" s="93"/>
      <c r="H369" s="133"/>
      <c r="J369" s="20"/>
      <c r="K369" s="94"/>
      <c r="L369" s="20"/>
      <c r="N369" s="20"/>
      <c r="O369" s="20"/>
      <c r="P369" s="20"/>
    </row>
    <row r="370">
      <c r="A370" s="28"/>
      <c r="B370" s="93"/>
      <c r="C370" s="114" t="str">
        <f t="array" ref="C370">ifs(and(isblank($A370),isblank($B370)),"", not(iserror(vlookup($A370&amp;$B370,'3) Release_Label'!$D:$D&amp;'3) Release_Label'!$E:$E,1,0))),vlookup($A370&amp;$B370,{'3) Release_Label'!$D:$D&amp;'3) Release_Label'!$E:$E,'3) Release_Label'!$F:$F},2,0),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D370" s="114" t="str">
        <f t="array" ref="D370">ifs(and(isblank($A370),isblank($B370)),"", not(iserror(vlookup($A370&amp;$B370,'3) Release_Label'!$D:$D&amp;'3) Release_Label'!$E:$E,1,0))),vlookup($A370&amp;$B370,{'3) Release_Label'!$D:$D&amp;'3) Release_Label'!$E:$E,'3) Release_Label'!$H:$H},2,0),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E370" s="128" t="str">
        <f t="shared" si="3"/>
        <v/>
      </c>
      <c r="G370" s="93"/>
      <c r="H370" s="133"/>
      <c r="J370" s="20"/>
      <c r="K370" s="94"/>
      <c r="L370" s="20"/>
      <c r="N370" s="20"/>
      <c r="O370" s="20"/>
      <c r="P370" s="20"/>
    </row>
    <row r="371">
      <c r="A371" s="28"/>
      <c r="B371" s="93"/>
      <c r="C371" s="114" t="str">
        <f t="array" ref="C371">ifs(and(isblank($A371),isblank($B371)),"", not(iserror(vlookup($A371&amp;$B371,'3) Release_Label'!$D:$D&amp;'3) Release_Label'!$E:$E,1,0))),vlookup($A371&amp;$B371,{'3) Release_Label'!$D:$D&amp;'3) Release_Label'!$E:$E,'3) Release_Label'!$F:$F},2,0),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D371" s="114" t="str">
        <f t="array" ref="D371">ifs(and(isblank($A371),isblank($B371)),"", not(iserror(vlookup($A371&amp;$B371,'3) Release_Label'!$D:$D&amp;'3) Release_Label'!$E:$E,1,0))),vlookup($A371&amp;$B371,{'3) Release_Label'!$D:$D&amp;'3) Release_Label'!$E:$E,'3) Release_Label'!$H:$H},2,0),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E371" s="128" t="str">
        <f t="shared" si="3"/>
        <v/>
      </c>
      <c r="G371" s="93"/>
      <c r="H371" s="133"/>
      <c r="J371" s="20"/>
      <c r="K371" s="94"/>
      <c r="L371" s="20"/>
      <c r="N371" s="20"/>
      <c r="O371" s="20"/>
      <c r="P371" s="20"/>
    </row>
    <row r="372">
      <c r="A372" s="28"/>
      <c r="B372" s="93"/>
      <c r="C372" s="114" t="str">
        <f t="array" ref="C372">ifs(and(isblank($A372),isblank($B372)),"", not(iserror(vlookup($A372&amp;$B372,'3) Release_Label'!$D:$D&amp;'3) Release_Label'!$E:$E,1,0))),vlookup($A372&amp;$B372,{'3) Release_Label'!$D:$D&amp;'3) Release_Label'!$E:$E,'3) Release_Label'!$F:$F},2,0),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D372" s="114" t="str">
        <f t="array" ref="D372">ifs(and(isblank($A372),isblank($B372)),"", not(iserror(vlookup($A372&amp;$B372,'3) Release_Label'!$D:$D&amp;'3) Release_Label'!$E:$E,1,0))),vlookup($A372&amp;$B372,{'3) Release_Label'!$D:$D&amp;'3) Release_Label'!$E:$E,'3) Release_Label'!$H:$H},2,0),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E372" s="128" t="str">
        <f t="shared" si="3"/>
        <v/>
      </c>
      <c r="G372" s="93"/>
      <c r="H372" s="133"/>
      <c r="J372" s="20"/>
      <c r="K372" s="94"/>
      <c r="L372" s="20"/>
      <c r="N372" s="20"/>
      <c r="O372" s="20"/>
      <c r="P372" s="20"/>
    </row>
    <row r="373">
      <c r="A373" s="28"/>
      <c r="B373" s="93"/>
      <c r="C373" s="114" t="str">
        <f t="array" ref="C373">ifs(and(isblank($A373),isblank($B373)),"", not(iserror(vlookup($A373&amp;$B373,'3) Release_Label'!$D:$D&amp;'3) Release_Label'!$E:$E,1,0))),vlookup($A373&amp;$B373,{'3) Release_Label'!$D:$D&amp;'3) Release_Label'!$E:$E,'3) Release_Label'!$F:$F},2,0),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D373" s="114" t="str">
        <f t="array" ref="D373">ifs(and(isblank($A373),isblank($B373)),"", not(iserror(vlookup($A373&amp;$B373,'3) Release_Label'!$D:$D&amp;'3) Release_Label'!$E:$E,1,0))),vlookup($A373&amp;$B373,{'3) Release_Label'!$D:$D&amp;'3) Release_Label'!$E:$E,'3) Release_Label'!$H:$H},2,0),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E373" s="128" t="str">
        <f t="shared" si="3"/>
        <v/>
      </c>
      <c r="G373" s="93"/>
      <c r="H373" s="133"/>
      <c r="J373" s="20"/>
      <c r="K373" s="94"/>
      <c r="L373" s="20"/>
      <c r="N373" s="20"/>
      <c r="O373" s="20"/>
      <c r="P373" s="20"/>
    </row>
    <row r="374">
      <c r="A374" s="28"/>
      <c r="B374" s="93"/>
      <c r="C374" s="114" t="str">
        <f t="array" ref="C374">ifs(and(isblank($A374),isblank($B374)),"", not(iserror(vlookup($A374&amp;$B374,'3) Release_Label'!$D:$D&amp;'3) Release_Label'!$E:$E,1,0))),vlookup($A374&amp;$B374,{'3) Release_Label'!$D:$D&amp;'3) Release_Label'!$E:$E,'3) Release_Label'!$F:$F},2,0),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D374" s="114" t="str">
        <f t="array" ref="D374">ifs(and(isblank($A374),isblank($B374)),"", not(iserror(vlookup($A374&amp;$B374,'3) Release_Label'!$D:$D&amp;'3) Release_Label'!$E:$E,1,0))),vlookup($A374&amp;$B374,{'3) Release_Label'!$D:$D&amp;'3) Release_Label'!$E:$E,'3) Release_Label'!$H:$H},2,0),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E374" s="128" t="str">
        <f t="shared" si="3"/>
        <v/>
      </c>
      <c r="G374" s="93"/>
      <c r="H374" s="133"/>
      <c r="J374" s="20"/>
      <c r="K374" s="94"/>
      <c r="L374" s="20"/>
      <c r="N374" s="20"/>
      <c r="O374" s="20"/>
      <c r="P374" s="20"/>
    </row>
    <row r="375">
      <c r="A375" s="28"/>
      <c r="B375" s="93"/>
      <c r="C375" s="114" t="str">
        <f t="array" ref="C375">ifs(and(isblank($A375),isblank($B375)),"", not(iserror(vlookup($A375&amp;$B375,'3) Release_Label'!$D:$D&amp;'3) Release_Label'!$E:$E,1,0))),vlookup($A375&amp;$B375,{'3) Release_Label'!$D:$D&amp;'3) Release_Label'!$E:$E,'3) Release_Label'!$F:$F},2,0),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D375" s="114" t="str">
        <f t="array" ref="D375">ifs(and(isblank($A375),isblank($B375)),"", not(iserror(vlookup($A375&amp;$B375,'3) Release_Label'!$D:$D&amp;'3) Release_Label'!$E:$E,1,0))),vlookup($A375&amp;$B375,{'3) Release_Label'!$D:$D&amp;'3) Release_Label'!$E:$E,'3) Release_Label'!$H:$H},2,0),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E375" s="128" t="str">
        <f t="shared" si="3"/>
        <v/>
      </c>
      <c r="G375" s="93"/>
      <c r="H375" s="133"/>
      <c r="J375" s="20"/>
      <c r="K375" s="94"/>
      <c r="L375" s="20"/>
      <c r="N375" s="20"/>
      <c r="O375" s="20"/>
      <c r="P375" s="20"/>
    </row>
    <row r="376">
      <c r="A376" s="28"/>
      <c r="B376" s="93"/>
      <c r="C376" s="114" t="str">
        <f t="array" ref="C376">ifs(and(isblank($A376),isblank($B376)),"", not(iserror(vlookup($A376&amp;$B376,'3) Release_Label'!$D:$D&amp;'3) Release_Label'!$E:$E,1,0))),vlookup($A376&amp;$B376,{'3) Release_Label'!$D:$D&amp;'3) Release_Label'!$E:$E,'3) Release_Label'!$F:$F},2,0),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D376" s="114" t="str">
        <f t="array" ref="D376">ifs(and(isblank($A376),isblank($B376)),"", not(iserror(vlookup($A376&amp;$B376,'3) Release_Label'!$D:$D&amp;'3) Release_Label'!$E:$E,1,0))),vlookup($A376&amp;$B376,{'3) Release_Label'!$D:$D&amp;'3) Release_Label'!$E:$E,'3) Release_Label'!$H:$H},2,0),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E376" s="128" t="str">
        <f t="shared" si="3"/>
        <v/>
      </c>
      <c r="G376" s="93"/>
      <c r="H376" s="133"/>
      <c r="J376" s="20"/>
      <c r="K376" s="94"/>
      <c r="L376" s="20"/>
      <c r="N376" s="20"/>
      <c r="O376" s="20"/>
      <c r="P376" s="20"/>
    </row>
    <row r="377">
      <c r="A377" s="28"/>
      <c r="B377" s="93"/>
      <c r="C377" s="114" t="str">
        <f t="array" ref="C377">ifs(and(isblank($A377),isblank($B377)),"", not(iserror(vlookup($A377&amp;$B377,'3) Release_Label'!$D:$D&amp;'3) Release_Label'!$E:$E,1,0))),vlookup($A377&amp;$B377,{'3) Release_Label'!$D:$D&amp;'3) Release_Label'!$E:$E,'3) Release_Label'!$F:$F},2,0),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D377" s="114" t="str">
        <f t="array" ref="D377">ifs(and(isblank($A377),isblank($B377)),"", not(iserror(vlookup($A377&amp;$B377,'3) Release_Label'!$D:$D&amp;'3) Release_Label'!$E:$E,1,0))),vlookup($A377&amp;$B377,{'3) Release_Label'!$D:$D&amp;'3) Release_Label'!$E:$E,'3) Release_Label'!$H:$H},2,0),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E377" s="128" t="str">
        <f t="shared" si="3"/>
        <v/>
      </c>
      <c r="G377" s="93"/>
      <c r="H377" s="133"/>
      <c r="J377" s="20"/>
      <c r="K377" s="94"/>
      <c r="L377" s="20"/>
      <c r="N377" s="20"/>
      <c r="O377" s="20"/>
      <c r="P377" s="20"/>
    </row>
    <row r="378">
      <c r="A378" s="28"/>
      <c r="B378" s="93"/>
      <c r="C378" s="114" t="str">
        <f t="array" ref="C378">ifs(and(isblank($A378),isblank($B378)),"", not(iserror(vlookup($A378&amp;$B378,'3) Release_Label'!$D:$D&amp;'3) Release_Label'!$E:$E,1,0))),vlookup($A378&amp;$B378,{'3) Release_Label'!$D:$D&amp;'3) Release_Label'!$E:$E,'3) Release_Label'!$F:$F},2,0),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D378" s="114" t="str">
        <f t="array" ref="D378">ifs(and(isblank($A378),isblank($B378)),"", not(iserror(vlookup($A378&amp;$B378,'3) Release_Label'!$D:$D&amp;'3) Release_Label'!$E:$E,1,0))),vlookup($A378&amp;$B378,{'3) Release_Label'!$D:$D&amp;'3) Release_Label'!$E:$E,'3) Release_Label'!$H:$H},2,0),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E378" s="128" t="str">
        <f t="shared" si="3"/>
        <v/>
      </c>
      <c r="G378" s="93"/>
      <c r="H378" s="133"/>
      <c r="J378" s="20"/>
      <c r="K378" s="94"/>
      <c r="L378" s="20"/>
      <c r="N378" s="20"/>
      <c r="O378" s="20"/>
      <c r="P378" s="20"/>
    </row>
    <row r="379">
      <c r="A379" s="28"/>
      <c r="B379" s="93"/>
      <c r="C379" s="114" t="str">
        <f t="array" ref="C379">ifs(and(isblank($A379),isblank($B379)),"", not(iserror(vlookup($A379&amp;$B379,'3) Release_Label'!$D:$D&amp;'3) Release_Label'!$E:$E,1,0))),vlookup($A379&amp;$B379,{'3) Release_Label'!$D:$D&amp;'3) Release_Label'!$E:$E,'3) Release_Label'!$F:$F},2,0),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D379" s="114" t="str">
        <f t="array" ref="D379">ifs(and(isblank($A379),isblank($B379)),"", not(iserror(vlookup($A379&amp;$B379,'3) Release_Label'!$D:$D&amp;'3) Release_Label'!$E:$E,1,0))),vlookup($A379&amp;$B379,{'3) Release_Label'!$D:$D&amp;'3) Release_Label'!$E:$E,'3) Release_Label'!$H:$H},2,0),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E379" s="128" t="str">
        <f t="shared" si="3"/>
        <v/>
      </c>
      <c r="G379" s="93"/>
      <c r="H379" s="133"/>
      <c r="J379" s="20"/>
      <c r="K379" s="94"/>
      <c r="L379" s="20"/>
      <c r="N379" s="20"/>
      <c r="O379" s="20"/>
      <c r="P379" s="20"/>
    </row>
    <row r="380">
      <c r="A380" s="28"/>
      <c r="B380" s="93"/>
      <c r="C380" s="114" t="str">
        <f t="array" ref="C380">ifs(and(isblank($A380),isblank($B380)),"", not(iserror(vlookup($A380&amp;$B380,'3) Release_Label'!$D:$D&amp;'3) Release_Label'!$E:$E,1,0))),vlookup($A380&amp;$B380,{'3) Release_Label'!$D:$D&amp;'3) Release_Label'!$E:$E,'3) Release_Label'!$F:$F},2,0),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D380" s="114" t="str">
        <f t="array" ref="D380">ifs(and(isblank($A380),isblank($B380)),"", not(iserror(vlookup($A380&amp;$B380,'3) Release_Label'!$D:$D&amp;'3) Release_Label'!$E:$E,1,0))),vlookup($A380&amp;$B380,{'3) Release_Label'!$D:$D&amp;'3) Release_Label'!$E:$E,'3) Release_Label'!$H:$H},2,0),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E380" s="128" t="str">
        <f t="shared" si="3"/>
        <v/>
      </c>
      <c r="G380" s="93"/>
      <c r="H380" s="133"/>
      <c r="J380" s="20"/>
      <c r="K380" s="94"/>
      <c r="L380" s="20"/>
      <c r="N380" s="20"/>
      <c r="O380" s="20"/>
      <c r="P380" s="20"/>
    </row>
    <row r="381">
      <c r="A381" s="28"/>
      <c r="B381" s="93"/>
      <c r="C381" s="114" t="str">
        <f t="array" ref="C381">ifs(and(isblank($A381),isblank($B381)),"", not(iserror(vlookup($A381&amp;$B381,'3) Release_Label'!$D:$D&amp;'3) Release_Label'!$E:$E,1,0))),vlookup($A381&amp;$B381,{'3) Release_Label'!$D:$D&amp;'3) Release_Label'!$E:$E,'3) Release_Label'!$F:$F},2,0),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D381" s="114" t="str">
        <f t="array" ref="D381">ifs(and(isblank($A381),isblank($B381)),"", not(iserror(vlookup($A381&amp;$B381,'3) Release_Label'!$D:$D&amp;'3) Release_Label'!$E:$E,1,0))),vlookup($A381&amp;$B381,{'3) Release_Label'!$D:$D&amp;'3) Release_Label'!$E:$E,'3) Release_Label'!$H:$H},2,0),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E381" s="128" t="str">
        <f t="shared" si="3"/>
        <v/>
      </c>
      <c r="G381" s="93"/>
      <c r="H381" s="133"/>
      <c r="J381" s="20"/>
      <c r="K381" s="94"/>
      <c r="L381" s="20"/>
      <c r="N381" s="20"/>
      <c r="O381" s="20"/>
      <c r="P381" s="20"/>
    </row>
    <row r="382">
      <c r="A382" s="28"/>
      <c r="B382" s="93"/>
      <c r="C382" s="114" t="str">
        <f t="array" ref="C382">ifs(and(isblank($A382),isblank($B382)),"", not(iserror(vlookup($A382&amp;$B382,'3) Release_Label'!$D:$D&amp;'3) Release_Label'!$E:$E,1,0))),vlookup($A382&amp;$B382,{'3) Release_Label'!$D:$D&amp;'3) Release_Label'!$E:$E,'3) Release_Label'!$F:$F},2,0),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D382" s="114" t="str">
        <f t="array" ref="D382">ifs(and(isblank($A382),isblank($B382)),"", not(iserror(vlookup($A382&amp;$B382,'3) Release_Label'!$D:$D&amp;'3) Release_Label'!$E:$E,1,0))),vlookup($A382&amp;$B382,{'3) Release_Label'!$D:$D&amp;'3) Release_Label'!$E:$E,'3) Release_Label'!$H:$H},2,0),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E382" s="128" t="str">
        <f t="shared" si="3"/>
        <v/>
      </c>
      <c r="G382" s="93"/>
      <c r="H382" s="133"/>
      <c r="J382" s="20"/>
      <c r="K382" s="94"/>
      <c r="L382" s="20"/>
      <c r="N382" s="20"/>
      <c r="O382" s="20"/>
      <c r="P382" s="20"/>
    </row>
    <row r="383">
      <c r="A383" s="28"/>
      <c r="B383" s="93"/>
      <c r="C383" s="114" t="str">
        <f t="array" ref="C383">ifs(and(isblank($A383),isblank($B383)),"", not(iserror(vlookup($A383&amp;$B383,'3) Release_Label'!$D:$D&amp;'3) Release_Label'!$E:$E,1,0))),vlookup($A383&amp;$B383,{'3) Release_Label'!$D:$D&amp;'3) Release_Label'!$E:$E,'3) Release_Label'!$F:$F},2,0),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D383" s="114" t="str">
        <f t="array" ref="D383">ifs(and(isblank($A383),isblank($B383)),"", not(iserror(vlookup($A383&amp;$B383,'3) Release_Label'!$D:$D&amp;'3) Release_Label'!$E:$E,1,0))),vlookup($A383&amp;$B383,{'3) Release_Label'!$D:$D&amp;'3) Release_Label'!$E:$E,'3) Release_Label'!$H:$H},2,0),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E383" s="128" t="str">
        <f t="shared" si="3"/>
        <v/>
      </c>
      <c r="G383" s="93"/>
      <c r="H383" s="133"/>
      <c r="J383" s="20"/>
      <c r="K383" s="94"/>
      <c r="L383" s="20"/>
      <c r="N383" s="20"/>
      <c r="O383" s="20"/>
      <c r="P383" s="20"/>
    </row>
    <row r="384">
      <c r="A384" s="28"/>
      <c r="B384" s="93"/>
      <c r="C384" s="114" t="str">
        <f t="array" ref="C384">ifs(and(isblank($A384),isblank($B384)),"", not(iserror(vlookup($A384&amp;$B384,'3) Release_Label'!$D:$D&amp;'3) Release_Label'!$E:$E,1,0))),vlookup($A384&amp;$B384,{'3) Release_Label'!$D:$D&amp;'3) Release_Label'!$E:$E,'3) Release_Label'!$F:$F},2,0),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D384" s="114" t="str">
        <f t="array" ref="D384">ifs(and(isblank($A384),isblank($B384)),"", not(iserror(vlookup($A384&amp;$B384,'3) Release_Label'!$D:$D&amp;'3) Release_Label'!$E:$E,1,0))),vlookup($A384&amp;$B384,{'3) Release_Label'!$D:$D&amp;'3) Release_Label'!$E:$E,'3) Release_Label'!$H:$H},2,0),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E384" s="128" t="str">
        <f t="shared" si="3"/>
        <v/>
      </c>
      <c r="G384" s="93"/>
      <c r="H384" s="133"/>
      <c r="J384" s="20"/>
      <c r="K384" s="94"/>
      <c r="L384" s="20"/>
      <c r="N384" s="20"/>
      <c r="O384" s="20"/>
      <c r="P384" s="20"/>
    </row>
    <row r="385">
      <c r="A385" s="28"/>
      <c r="B385" s="93"/>
      <c r="C385" s="114" t="str">
        <f t="array" ref="C385">ifs(and(isblank($A385),isblank($B385)),"", not(iserror(vlookup($A385&amp;$B385,'3) Release_Label'!$D:$D&amp;'3) Release_Label'!$E:$E,1,0))),vlookup($A385&amp;$B385,{'3) Release_Label'!$D:$D&amp;'3) Release_Label'!$E:$E,'3) Release_Label'!$F:$F},2,0),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D385" s="114" t="str">
        <f t="array" ref="D385">ifs(and(isblank($A385),isblank($B385)),"", not(iserror(vlookup($A385&amp;$B385,'3) Release_Label'!$D:$D&amp;'3) Release_Label'!$E:$E,1,0))),vlookup($A385&amp;$B385,{'3) Release_Label'!$D:$D&amp;'3) Release_Label'!$E:$E,'3) Release_Label'!$H:$H},2,0),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E385" s="128" t="str">
        <f t="shared" si="3"/>
        <v/>
      </c>
      <c r="G385" s="93"/>
      <c r="H385" s="133"/>
      <c r="J385" s="20"/>
      <c r="K385" s="94"/>
      <c r="L385" s="20"/>
      <c r="N385" s="20"/>
      <c r="O385" s="20"/>
      <c r="P385" s="20"/>
    </row>
    <row r="386">
      <c r="A386" s="28"/>
      <c r="B386" s="93"/>
      <c r="C386" s="114" t="str">
        <f t="array" ref="C386">ifs(and(isblank($A386),isblank($B386)),"", not(iserror(vlookup($A386&amp;$B386,'3) Release_Label'!$D:$D&amp;'3) Release_Label'!$E:$E,1,0))),vlookup($A386&amp;$B386,{'3) Release_Label'!$D:$D&amp;'3) Release_Label'!$E:$E,'3) Release_Label'!$F:$F},2,0),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D386" s="114" t="str">
        <f t="array" ref="D386">ifs(and(isblank($A386),isblank($B386)),"", not(iserror(vlookup($A386&amp;$B386,'3) Release_Label'!$D:$D&amp;'3) Release_Label'!$E:$E,1,0))),vlookup($A386&amp;$B386,{'3) Release_Label'!$D:$D&amp;'3) Release_Label'!$E:$E,'3) Release_Label'!$H:$H},2,0),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E386" s="128" t="str">
        <f t="shared" si="3"/>
        <v/>
      </c>
      <c r="G386" s="93"/>
      <c r="H386" s="133"/>
      <c r="J386" s="20"/>
      <c r="K386" s="94"/>
      <c r="L386" s="20"/>
      <c r="N386" s="20"/>
      <c r="O386" s="20"/>
      <c r="P386" s="20"/>
    </row>
    <row r="387">
      <c r="A387" s="28"/>
      <c r="B387" s="93"/>
      <c r="C387" s="114" t="str">
        <f t="array" ref="C387">ifs(and(isblank($A387),isblank($B387)),"", not(iserror(vlookup($A387&amp;$B387,'3) Release_Label'!$D:$D&amp;'3) Release_Label'!$E:$E,1,0))),vlookup($A387&amp;$B387,{'3) Release_Label'!$D:$D&amp;'3) Release_Label'!$E:$E,'3) Release_Label'!$F:$F},2,0),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D387" s="114" t="str">
        <f t="array" ref="D387">ifs(and(isblank($A387),isblank($B387)),"", not(iserror(vlookup($A387&amp;$B387,'3) Release_Label'!$D:$D&amp;'3) Release_Label'!$E:$E,1,0))),vlookup($A387&amp;$B387,{'3) Release_Label'!$D:$D&amp;'3) Release_Label'!$E:$E,'3) Release_Label'!$H:$H},2,0),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E387" s="128" t="str">
        <f t="shared" si="3"/>
        <v/>
      </c>
      <c r="G387" s="93"/>
      <c r="H387" s="133"/>
      <c r="J387" s="20"/>
      <c r="K387" s="94"/>
      <c r="L387" s="20"/>
      <c r="N387" s="20"/>
      <c r="O387" s="20"/>
      <c r="P387" s="20"/>
    </row>
    <row r="388">
      <c r="A388" s="28"/>
      <c r="B388" s="93"/>
      <c r="C388" s="114" t="str">
        <f t="array" ref="C388">ifs(and(isblank($A388),isblank($B388)),"", not(iserror(vlookup($A388&amp;$B388,'3) Release_Label'!$D:$D&amp;'3) Release_Label'!$E:$E,1,0))),vlookup($A388&amp;$B388,{'3) Release_Label'!$D:$D&amp;'3) Release_Label'!$E:$E,'3) Release_Label'!$F:$F},2,0),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D388" s="114" t="str">
        <f t="array" ref="D388">ifs(and(isblank($A388),isblank($B388)),"", not(iserror(vlookup($A388&amp;$B388,'3) Release_Label'!$D:$D&amp;'3) Release_Label'!$E:$E,1,0))),vlookup($A388&amp;$B388,{'3) Release_Label'!$D:$D&amp;'3) Release_Label'!$E:$E,'3) Release_Label'!$H:$H},2,0),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E388" s="128" t="str">
        <f t="shared" si="3"/>
        <v/>
      </c>
      <c r="G388" s="93"/>
      <c r="H388" s="133"/>
      <c r="J388" s="20"/>
      <c r="K388" s="94"/>
      <c r="L388" s="20"/>
      <c r="N388" s="20"/>
      <c r="O388" s="20"/>
      <c r="P388" s="20"/>
    </row>
    <row r="389">
      <c r="A389" s="28"/>
      <c r="B389" s="93"/>
      <c r="C389" s="114" t="str">
        <f t="array" ref="C389">ifs(and(isblank($A389),isblank($B389)),"", not(iserror(vlookup($A389&amp;$B389,'3) Release_Label'!$D:$D&amp;'3) Release_Label'!$E:$E,1,0))),vlookup($A389&amp;$B389,{'3) Release_Label'!$D:$D&amp;'3) Release_Label'!$E:$E,'3) Release_Label'!$F:$F},2,0),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D389" s="114" t="str">
        <f t="array" ref="D389">ifs(and(isblank($A389),isblank($B389)),"", not(iserror(vlookup($A389&amp;$B389,'3) Release_Label'!$D:$D&amp;'3) Release_Label'!$E:$E,1,0))),vlookup($A389&amp;$B389,{'3) Release_Label'!$D:$D&amp;'3) Release_Label'!$E:$E,'3) Release_Label'!$H:$H},2,0),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E389" s="128" t="str">
        <f t="shared" si="3"/>
        <v/>
      </c>
      <c r="G389" s="93"/>
      <c r="H389" s="133"/>
      <c r="J389" s="20"/>
      <c r="K389" s="94"/>
      <c r="L389" s="20"/>
      <c r="N389" s="20"/>
      <c r="O389" s="20"/>
      <c r="P389" s="20"/>
    </row>
    <row r="390">
      <c r="A390" s="28"/>
      <c r="B390" s="93"/>
      <c r="C390" s="114" t="str">
        <f t="array" ref="C390">ifs(and(isblank($A390),isblank($B390)),"", not(iserror(vlookup($A390&amp;$B390,'3) Release_Label'!$D:$D&amp;'3) Release_Label'!$E:$E,1,0))),vlookup($A390&amp;$B390,{'3) Release_Label'!$D:$D&amp;'3) Release_Label'!$E:$E,'3) Release_Label'!$F:$F},2,0),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D390" s="114" t="str">
        <f t="array" ref="D390">ifs(and(isblank($A390),isblank($B390)),"", not(iserror(vlookup($A390&amp;$B390,'3) Release_Label'!$D:$D&amp;'3) Release_Label'!$E:$E,1,0))),vlookup($A390&amp;$B390,{'3) Release_Label'!$D:$D&amp;'3) Release_Label'!$E:$E,'3) Release_Label'!$H:$H},2,0),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E390" s="128" t="str">
        <f t="shared" si="3"/>
        <v/>
      </c>
      <c r="G390" s="93"/>
      <c r="H390" s="133"/>
      <c r="J390" s="20"/>
      <c r="K390" s="94"/>
      <c r="L390" s="20"/>
      <c r="N390" s="20"/>
      <c r="O390" s="20"/>
      <c r="P390" s="20"/>
    </row>
    <row r="391">
      <c r="A391" s="28"/>
      <c r="B391" s="93"/>
      <c r="C391" s="114" t="str">
        <f t="array" ref="C391">ifs(and(isblank($A391),isblank($B391)),"", not(iserror(vlookup($A391&amp;$B391,'3) Release_Label'!$D:$D&amp;'3) Release_Label'!$E:$E,1,0))),vlookup($A391&amp;$B391,{'3) Release_Label'!$D:$D&amp;'3) Release_Label'!$E:$E,'3) Release_Label'!$F:$F},2,0),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D391" s="114" t="str">
        <f t="array" ref="D391">ifs(and(isblank($A391),isblank($B391)),"", not(iserror(vlookup($A391&amp;$B391,'3) Release_Label'!$D:$D&amp;'3) Release_Label'!$E:$E,1,0))),vlookup($A391&amp;$B391,{'3) Release_Label'!$D:$D&amp;'3) Release_Label'!$E:$E,'3) Release_Label'!$H:$H},2,0),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E391" s="128" t="str">
        <f t="shared" si="3"/>
        <v/>
      </c>
      <c r="G391" s="93"/>
      <c r="H391" s="133"/>
      <c r="J391" s="20"/>
      <c r="K391" s="94"/>
      <c r="L391" s="20"/>
      <c r="N391" s="20"/>
      <c r="O391" s="20"/>
      <c r="P391" s="20"/>
    </row>
    <row r="392">
      <c r="A392" s="28"/>
      <c r="B392" s="93"/>
      <c r="C392" s="114" t="str">
        <f t="array" ref="C392">ifs(and(isblank($A392),isblank($B392)),"", not(iserror(vlookup($A392&amp;$B392,'3) Release_Label'!$D:$D&amp;'3) Release_Label'!$E:$E,1,0))),vlookup($A392&amp;$B392,{'3) Release_Label'!$D:$D&amp;'3) Release_Label'!$E:$E,'3) Release_Label'!$F:$F},2,0),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D392" s="114" t="str">
        <f t="array" ref="D392">ifs(and(isblank($A392),isblank($B392)),"", not(iserror(vlookup($A392&amp;$B392,'3) Release_Label'!$D:$D&amp;'3) Release_Label'!$E:$E,1,0))),vlookup($A392&amp;$B392,{'3) Release_Label'!$D:$D&amp;'3) Release_Label'!$E:$E,'3) Release_Label'!$H:$H},2,0),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E392" s="128" t="str">
        <f t="shared" si="3"/>
        <v/>
      </c>
      <c r="G392" s="93"/>
      <c r="H392" s="133"/>
      <c r="J392" s="20"/>
      <c r="K392" s="94"/>
      <c r="L392" s="20"/>
      <c r="N392" s="20"/>
      <c r="O392" s="20"/>
      <c r="P392" s="20"/>
    </row>
    <row r="393">
      <c r="A393" s="28"/>
      <c r="B393" s="93"/>
      <c r="C393" s="114" t="str">
        <f t="array" ref="C393">ifs(and(isblank($A393),isblank($B393)),"", not(iserror(vlookup($A393&amp;$B393,'3) Release_Label'!$D:$D&amp;'3) Release_Label'!$E:$E,1,0))),vlookup($A393&amp;$B393,{'3) Release_Label'!$D:$D&amp;'3) Release_Label'!$E:$E,'3) Release_Label'!$F:$F},2,0),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D393" s="114" t="str">
        <f t="array" ref="D393">ifs(and(isblank($A393),isblank($B393)),"", not(iserror(vlookup($A393&amp;$B393,'3) Release_Label'!$D:$D&amp;'3) Release_Label'!$E:$E,1,0))),vlookup($A393&amp;$B393,{'3) Release_Label'!$D:$D&amp;'3) Release_Label'!$E:$E,'3) Release_Label'!$H:$H},2,0),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E393" s="128" t="str">
        <f t="shared" si="3"/>
        <v/>
      </c>
      <c r="G393" s="93"/>
      <c r="H393" s="133"/>
      <c r="J393" s="20"/>
      <c r="K393" s="94"/>
      <c r="L393" s="20"/>
      <c r="N393" s="20"/>
      <c r="O393" s="20"/>
      <c r="P393" s="20"/>
    </row>
    <row r="394">
      <c r="A394" s="28"/>
      <c r="B394" s="93"/>
      <c r="C394" s="114" t="str">
        <f t="array" ref="C394">ifs(and(isblank($A394),isblank($B394)),"", not(iserror(vlookup($A394&amp;$B394,'3) Release_Label'!$D:$D&amp;'3) Release_Label'!$E:$E,1,0))),vlookup($A394&amp;$B394,{'3) Release_Label'!$D:$D&amp;'3) Release_Label'!$E:$E,'3) Release_Label'!$F:$F},2,0),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D394" s="114" t="str">
        <f t="array" ref="D394">ifs(and(isblank($A394),isblank($B394)),"", not(iserror(vlookup($A394&amp;$B394,'3) Release_Label'!$D:$D&amp;'3) Release_Label'!$E:$E,1,0))),vlookup($A394&amp;$B394,{'3) Release_Label'!$D:$D&amp;'3) Release_Label'!$E:$E,'3) Release_Label'!$H:$H},2,0),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E394" s="128" t="str">
        <f t="shared" si="3"/>
        <v/>
      </c>
      <c r="G394" s="93"/>
      <c r="H394" s="133"/>
      <c r="J394" s="20"/>
      <c r="K394" s="94"/>
      <c r="L394" s="20"/>
      <c r="N394" s="20"/>
      <c r="O394" s="20"/>
      <c r="P394" s="20"/>
    </row>
    <row r="395">
      <c r="A395" s="28"/>
      <c r="B395" s="93"/>
      <c r="C395" s="114" t="str">
        <f t="array" ref="C395">ifs(and(isblank($A395),isblank($B395)),"", not(iserror(vlookup($A395&amp;$B395,'3) Release_Label'!$D:$D&amp;'3) Release_Label'!$E:$E,1,0))),vlookup($A395&amp;$B395,{'3) Release_Label'!$D:$D&amp;'3) Release_Label'!$E:$E,'3) Release_Label'!$F:$F},2,0),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D395" s="114" t="str">
        <f t="array" ref="D395">ifs(and(isblank($A395),isblank($B395)),"", not(iserror(vlookup($A395&amp;$B395,'3) Release_Label'!$D:$D&amp;'3) Release_Label'!$E:$E,1,0))),vlookup($A395&amp;$B395,{'3) Release_Label'!$D:$D&amp;'3) Release_Label'!$E:$E,'3) Release_Label'!$H:$H},2,0),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E395" s="128" t="str">
        <f t="shared" si="3"/>
        <v/>
      </c>
      <c r="G395" s="93"/>
      <c r="H395" s="133"/>
      <c r="J395" s="20"/>
      <c r="K395" s="94"/>
      <c r="L395" s="20"/>
      <c r="N395" s="20"/>
      <c r="O395" s="20"/>
      <c r="P395" s="20"/>
    </row>
    <row r="396">
      <c r="A396" s="28"/>
      <c r="B396" s="93"/>
      <c r="C396" s="114" t="str">
        <f t="array" ref="C396">ifs(and(isblank($A396),isblank($B396)),"", not(iserror(vlookup($A396&amp;$B396,'3) Release_Label'!$D:$D&amp;'3) Release_Label'!$E:$E,1,0))),vlookup($A396&amp;$B396,{'3) Release_Label'!$D:$D&amp;'3) Release_Label'!$E:$E,'3) Release_Label'!$F:$F},2,0),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D396" s="114" t="str">
        <f t="array" ref="D396">ifs(and(isblank($A396),isblank($B396)),"", not(iserror(vlookup($A396&amp;$B396,'3) Release_Label'!$D:$D&amp;'3) Release_Label'!$E:$E,1,0))),vlookup($A396&amp;$B396,{'3) Release_Label'!$D:$D&amp;'3) Release_Label'!$E:$E,'3) Release_Label'!$H:$H},2,0),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E396" s="128" t="str">
        <f t="shared" si="3"/>
        <v/>
      </c>
      <c r="G396" s="93"/>
      <c r="H396" s="133"/>
      <c r="J396" s="20"/>
      <c r="K396" s="94"/>
      <c r="L396" s="20"/>
      <c r="N396" s="20"/>
      <c r="O396" s="20"/>
      <c r="P396" s="20"/>
    </row>
    <row r="397">
      <c r="A397" s="28"/>
      <c r="B397" s="93"/>
      <c r="C397" s="114" t="str">
        <f t="array" ref="C397">ifs(and(isblank($A397),isblank($B397)),"", not(iserror(vlookup($A397&amp;$B397,'3) Release_Label'!$D:$D&amp;'3) Release_Label'!$E:$E,1,0))),vlookup($A397&amp;$B397,{'3) Release_Label'!$D:$D&amp;'3) Release_Label'!$E:$E,'3) Release_Label'!$F:$F},2,0),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D397" s="114" t="str">
        <f t="array" ref="D397">ifs(and(isblank($A397),isblank($B397)),"", not(iserror(vlookup($A397&amp;$B397,'3) Release_Label'!$D:$D&amp;'3) Release_Label'!$E:$E,1,0))),vlookup($A397&amp;$B397,{'3) Release_Label'!$D:$D&amp;'3) Release_Label'!$E:$E,'3) Release_Label'!$H:$H},2,0),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E397" s="128" t="str">
        <f t="shared" si="3"/>
        <v/>
      </c>
      <c r="G397" s="93"/>
      <c r="H397" s="133"/>
      <c r="J397" s="20"/>
      <c r="K397" s="94"/>
      <c r="L397" s="20"/>
      <c r="N397" s="20"/>
      <c r="O397" s="20"/>
      <c r="P397" s="20"/>
    </row>
    <row r="398">
      <c r="A398" s="28"/>
      <c r="B398" s="93"/>
      <c r="C398" s="114" t="str">
        <f t="array" ref="C398">ifs(and(isblank($A398),isblank($B398)),"", not(iserror(vlookup($A398&amp;$B398,'3) Release_Label'!$D:$D&amp;'3) Release_Label'!$E:$E,1,0))),vlookup($A398&amp;$B398,{'3) Release_Label'!$D:$D&amp;'3) Release_Label'!$E:$E,'3) Release_Label'!$F:$F},2,0),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D398" s="114" t="str">
        <f t="array" ref="D398">ifs(and(isblank($A398),isblank($B398)),"", not(iserror(vlookup($A398&amp;$B398,'3) Release_Label'!$D:$D&amp;'3) Release_Label'!$E:$E,1,0))),vlookup($A398&amp;$B398,{'3) Release_Label'!$D:$D&amp;'3) Release_Label'!$E:$E,'3) Release_Label'!$H:$H},2,0),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E398" s="128" t="str">
        <f t="shared" si="3"/>
        <v/>
      </c>
      <c r="G398" s="93"/>
      <c r="H398" s="133"/>
      <c r="J398" s="20"/>
      <c r="K398" s="94"/>
      <c r="L398" s="20"/>
      <c r="N398" s="20"/>
      <c r="O398" s="20"/>
      <c r="P398" s="20"/>
    </row>
    <row r="399">
      <c r="A399" s="28"/>
      <c r="B399" s="93"/>
      <c r="C399" s="114" t="str">
        <f t="array" ref="C399">ifs(and(isblank($A399),isblank($B399)),"", not(iserror(vlookup($A399&amp;$B399,'3) Release_Label'!$D:$D&amp;'3) Release_Label'!$E:$E,1,0))),vlookup($A399&amp;$B399,{'3) Release_Label'!$D:$D&amp;'3) Release_Label'!$E:$E,'3) Release_Label'!$F:$F},2,0),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D399" s="114" t="str">
        <f t="array" ref="D399">ifs(and(isblank($A399),isblank($B399)),"", not(iserror(vlookup($A399&amp;$B399,'3) Release_Label'!$D:$D&amp;'3) Release_Label'!$E:$E,1,0))),vlookup($A399&amp;$B399,{'3) Release_Label'!$D:$D&amp;'3) Release_Label'!$E:$E,'3) Release_Label'!$H:$H},2,0),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E399" s="128" t="str">
        <f t="shared" si="3"/>
        <v/>
      </c>
      <c r="G399" s="93"/>
      <c r="H399" s="133"/>
      <c r="J399" s="20"/>
      <c r="K399" s="94"/>
      <c r="L399" s="20"/>
      <c r="N399" s="20"/>
      <c r="O399" s="20"/>
      <c r="P399" s="20"/>
    </row>
    <row r="400">
      <c r="A400" s="28"/>
      <c r="B400" s="93"/>
      <c r="C400" s="114" t="str">
        <f t="array" ref="C400">ifs(and(isblank($A400),isblank($B400)),"", not(iserror(vlookup($A400&amp;$B400,'3) Release_Label'!$D:$D&amp;'3) Release_Label'!$E:$E,1,0))),vlookup($A400&amp;$B400,{'3) Release_Label'!$D:$D&amp;'3) Release_Label'!$E:$E,'3) Release_Label'!$F:$F},2,0),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D400" s="114" t="str">
        <f t="array" ref="D400">ifs(and(isblank($A400),isblank($B400)),"", not(iserror(vlookup($A400&amp;$B400,'3) Release_Label'!$D:$D&amp;'3) Release_Label'!$E:$E,1,0))),vlookup($A400&amp;$B400,{'3) Release_Label'!$D:$D&amp;'3) Release_Label'!$E:$E,'3) Release_Label'!$H:$H},2,0),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E400" s="128" t="str">
        <f t="shared" si="3"/>
        <v/>
      </c>
      <c r="G400" s="93"/>
      <c r="H400" s="133"/>
      <c r="J400" s="20"/>
      <c r="K400" s="94"/>
      <c r="L400" s="20"/>
      <c r="N400" s="20"/>
      <c r="O400" s="20"/>
      <c r="P400" s="20"/>
    </row>
    <row r="401">
      <c r="A401" s="28"/>
      <c r="B401" s="93"/>
      <c r="C401" s="114" t="str">
        <f t="array" ref="C401">ifs(and(isblank($A401),isblank($B401)),"", not(iserror(vlookup($A401&amp;$B401,'3) Release_Label'!$D:$D&amp;'3) Release_Label'!$E:$E,1,0))),vlookup($A401&amp;$B401,{'3) Release_Label'!$D:$D&amp;'3) Release_Label'!$E:$E,'3) Release_Label'!$F:$F},2,0),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D401" s="114" t="str">
        <f t="array" ref="D401">ifs(and(isblank($A401),isblank($B401)),"", not(iserror(vlookup($A401&amp;$B401,'3) Release_Label'!$D:$D&amp;'3) Release_Label'!$E:$E,1,0))),vlookup($A401&amp;$B401,{'3) Release_Label'!$D:$D&amp;'3) Release_Label'!$E:$E,'3) Release_Label'!$H:$H},2,0),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E401" s="128" t="str">
        <f t="shared" si="3"/>
        <v/>
      </c>
      <c r="G401" s="93"/>
      <c r="H401" s="133"/>
      <c r="J401" s="20"/>
      <c r="K401" s="94"/>
      <c r="L401" s="20"/>
      <c r="N401" s="20"/>
      <c r="O401" s="20"/>
      <c r="P401" s="20"/>
    </row>
    <row r="402">
      <c r="A402" s="28"/>
      <c r="B402" s="93"/>
      <c r="C402" s="114" t="str">
        <f t="array" ref="C402">ifs(and(isblank($A402),isblank($B402)),"", not(iserror(vlookup($A402&amp;$B402,'3) Release_Label'!$D:$D&amp;'3) Release_Label'!$E:$E,1,0))),vlookup($A402&amp;$B402,{'3) Release_Label'!$D:$D&amp;'3) Release_Label'!$E:$E,'3) Release_Label'!$F:$F},2,0),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D402" s="114" t="str">
        <f t="array" ref="D402">ifs(and(isblank($A402),isblank($B402)),"", not(iserror(vlookup($A402&amp;$B402,'3) Release_Label'!$D:$D&amp;'3) Release_Label'!$E:$E,1,0))),vlookup($A402&amp;$B402,{'3) Release_Label'!$D:$D&amp;'3) Release_Label'!$E:$E,'3) Release_Label'!$H:$H},2,0),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E402" s="128" t="str">
        <f t="shared" si="3"/>
        <v/>
      </c>
      <c r="G402" s="93"/>
      <c r="H402" s="133"/>
      <c r="J402" s="20"/>
      <c r="K402" s="94"/>
      <c r="L402" s="20"/>
      <c r="N402" s="20"/>
      <c r="O402" s="20"/>
      <c r="P402" s="20"/>
    </row>
    <row r="403">
      <c r="A403" s="28"/>
      <c r="B403" s="93"/>
      <c r="C403" s="114" t="str">
        <f t="array" ref="C403">ifs(and(isblank($A403),isblank($B403)),"", not(iserror(vlookup($A403&amp;$B403,'3) Release_Label'!$D:$D&amp;'3) Release_Label'!$E:$E,1,0))),vlookup($A403&amp;$B403,{'3) Release_Label'!$D:$D&amp;'3) Release_Label'!$E:$E,'3) Release_Label'!$F:$F},2,0),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D403" s="114" t="str">
        <f t="array" ref="D403">ifs(and(isblank($A403),isblank($B403)),"", not(iserror(vlookup($A403&amp;$B403,'3) Release_Label'!$D:$D&amp;'3) Release_Label'!$E:$E,1,0))),vlookup($A403&amp;$B403,{'3) Release_Label'!$D:$D&amp;'3) Release_Label'!$E:$E,'3) Release_Label'!$H:$H},2,0),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E403" s="128" t="str">
        <f t="shared" si="3"/>
        <v/>
      </c>
      <c r="G403" s="93"/>
      <c r="H403" s="133"/>
      <c r="J403" s="20"/>
      <c r="K403" s="94"/>
      <c r="L403" s="20"/>
      <c r="N403" s="20"/>
      <c r="O403" s="20"/>
      <c r="P403" s="20"/>
    </row>
    <row r="404">
      <c r="A404" s="28"/>
      <c r="B404" s="93"/>
      <c r="C404" s="114" t="str">
        <f t="array" ref="C404">ifs(and(isblank($A404),isblank($B404)),"", not(iserror(vlookup($A404&amp;$B404,'3) Release_Label'!$D:$D&amp;'3) Release_Label'!$E:$E,1,0))),vlookup($A404&amp;$B404,{'3) Release_Label'!$D:$D&amp;'3) Release_Label'!$E:$E,'3) Release_Label'!$F:$F},2,0),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D404" s="114" t="str">
        <f t="array" ref="D404">ifs(and(isblank($A404),isblank($B404)),"", not(iserror(vlookup($A404&amp;$B404,'3) Release_Label'!$D:$D&amp;'3) Release_Label'!$E:$E,1,0))),vlookup($A404&amp;$B404,{'3) Release_Label'!$D:$D&amp;'3) Release_Label'!$E:$E,'3) Release_Label'!$H:$H},2,0),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E404" s="128" t="str">
        <f t="shared" si="3"/>
        <v/>
      </c>
      <c r="G404" s="93"/>
      <c r="H404" s="133"/>
      <c r="J404" s="20"/>
      <c r="K404" s="94"/>
      <c r="L404" s="20"/>
      <c r="N404" s="20"/>
      <c r="O404" s="20"/>
      <c r="P404" s="20"/>
    </row>
    <row r="405">
      <c r="A405" s="28"/>
      <c r="B405" s="93"/>
      <c r="C405" s="114" t="str">
        <f t="array" ref="C405">ifs(and(isblank($A405),isblank($B405)),"", not(iserror(vlookup($A405&amp;$B405,'3) Release_Label'!$D:$D&amp;'3) Release_Label'!$E:$E,1,0))),vlookup($A405&amp;$B405,{'3) Release_Label'!$D:$D&amp;'3) Release_Label'!$E:$E,'3) Release_Label'!$F:$F},2,0),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D405" s="114" t="str">
        <f t="array" ref="D405">ifs(and(isblank($A405),isblank($B405)),"", not(iserror(vlookup($A405&amp;$B405,'3) Release_Label'!$D:$D&amp;'3) Release_Label'!$E:$E,1,0))),vlookup($A405&amp;$B405,{'3) Release_Label'!$D:$D&amp;'3) Release_Label'!$E:$E,'3) Release_Label'!$H:$H},2,0),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E405" s="128" t="str">
        <f t="shared" si="3"/>
        <v/>
      </c>
      <c r="G405" s="93"/>
      <c r="H405" s="133"/>
      <c r="J405" s="20"/>
      <c r="K405" s="94"/>
      <c r="L405" s="20"/>
      <c r="N405" s="20"/>
      <c r="O405" s="20"/>
      <c r="P405" s="20"/>
    </row>
    <row r="406">
      <c r="A406" s="28"/>
      <c r="B406" s="93"/>
      <c r="C406" s="114" t="str">
        <f t="array" ref="C406">ifs(and(isblank($A406),isblank($B406)),"", not(iserror(vlookup($A406&amp;$B406,'3) Release_Label'!$D:$D&amp;'3) Release_Label'!$E:$E,1,0))),vlookup($A406&amp;$B406,{'3) Release_Label'!$D:$D&amp;'3) Release_Label'!$E:$E,'3) Release_Label'!$F:$F},2,0),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D406" s="114" t="str">
        <f t="array" ref="D406">ifs(and(isblank($A406),isblank($B406)),"", not(iserror(vlookup($A406&amp;$B406,'3) Release_Label'!$D:$D&amp;'3) Release_Label'!$E:$E,1,0))),vlookup($A406&amp;$B406,{'3) Release_Label'!$D:$D&amp;'3) Release_Label'!$E:$E,'3) Release_Label'!$H:$H},2,0),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E406" s="128" t="str">
        <f t="shared" si="3"/>
        <v/>
      </c>
      <c r="G406" s="93"/>
      <c r="H406" s="133"/>
      <c r="J406" s="20"/>
      <c r="K406" s="94"/>
      <c r="L406" s="20"/>
      <c r="N406" s="20"/>
      <c r="O406" s="20"/>
      <c r="P406" s="20"/>
    </row>
    <row r="407">
      <c r="A407" s="28"/>
      <c r="B407" s="93"/>
      <c r="C407" s="114" t="str">
        <f t="array" ref="C407">ifs(and(isblank($A407),isblank($B407)),"", not(iserror(vlookup($A407&amp;$B407,'3) Release_Label'!$D:$D&amp;'3) Release_Label'!$E:$E,1,0))),vlookup($A407&amp;$B407,{'3) Release_Label'!$D:$D&amp;'3) Release_Label'!$E:$E,'3) Release_Label'!$F:$F},2,0),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D407" s="114" t="str">
        <f t="array" ref="D407">ifs(and(isblank($A407),isblank($B407)),"", not(iserror(vlookup($A407&amp;$B407,'3) Release_Label'!$D:$D&amp;'3) Release_Label'!$E:$E,1,0))),vlookup($A407&amp;$B407,{'3) Release_Label'!$D:$D&amp;'3) Release_Label'!$E:$E,'3) Release_Label'!$H:$H},2,0),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E407" s="128" t="str">
        <f t="shared" si="3"/>
        <v/>
      </c>
      <c r="G407" s="93"/>
      <c r="H407" s="133"/>
      <c r="J407" s="20"/>
      <c r="K407" s="94"/>
      <c r="L407" s="20"/>
      <c r="N407" s="20"/>
      <c r="O407" s="20"/>
      <c r="P407" s="20"/>
    </row>
    <row r="408">
      <c r="A408" s="28"/>
      <c r="B408" s="93"/>
      <c r="C408" s="114" t="str">
        <f t="array" ref="C408">ifs(and(isblank($A408),isblank($B408)),"", not(iserror(vlookup($A408&amp;$B408,'3) Release_Label'!$D:$D&amp;'3) Release_Label'!$E:$E,1,0))),vlookup($A408&amp;$B408,{'3) Release_Label'!$D:$D&amp;'3) Release_Label'!$E:$E,'3) Release_Label'!$F:$F},2,0),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D408" s="114" t="str">
        <f t="array" ref="D408">ifs(and(isblank($A408),isblank($B408)),"", not(iserror(vlookup($A408&amp;$B408,'3) Release_Label'!$D:$D&amp;'3) Release_Label'!$E:$E,1,0))),vlookup($A408&amp;$B408,{'3) Release_Label'!$D:$D&amp;'3) Release_Label'!$E:$E,'3) Release_Label'!$H:$H},2,0),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E408" s="128" t="str">
        <f t="shared" si="3"/>
        <v/>
      </c>
      <c r="G408" s="93"/>
      <c r="H408" s="133"/>
      <c r="J408" s="20"/>
      <c r="K408" s="94"/>
      <c r="L408" s="20"/>
      <c r="N408" s="20"/>
      <c r="O408" s="20"/>
      <c r="P408" s="20"/>
    </row>
    <row r="409">
      <c r="A409" s="28"/>
      <c r="B409" s="93"/>
      <c r="C409" s="114" t="str">
        <f t="array" ref="C409">ifs(and(isblank($A409),isblank($B409)),"", not(iserror(vlookup($A409&amp;$B409,'3) Release_Label'!$D:$D&amp;'3) Release_Label'!$E:$E,1,0))),vlookup($A409&amp;$B409,{'3) Release_Label'!$D:$D&amp;'3) Release_Label'!$E:$E,'3) Release_Label'!$F:$F},2,0),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D409" s="114" t="str">
        <f t="array" ref="D409">ifs(and(isblank($A409),isblank($B409)),"", not(iserror(vlookup($A409&amp;$B409,'3) Release_Label'!$D:$D&amp;'3) Release_Label'!$E:$E,1,0))),vlookup($A409&amp;$B409,{'3) Release_Label'!$D:$D&amp;'3) Release_Label'!$E:$E,'3) Release_Label'!$H:$H},2,0),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E409" s="128" t="str">
        <f t="shared" si="3"/>
        <v/>
      </c>
      <c r="G409" s="93"/>
      <c r="H409" s="133"/>
      <c r="J409" s="20"/>
      <c r="K409" s="94"/>
      <c r="L409" s="20"/>
      <c r="N409" s="20"/>
      <c r="O409" s="20"/>
      <c r="P409" s="20"/>
    </row>
    <row r="410">
      <c r="A410" s="28"/>
      <c r="B410" s="93"/>
      <c r="C410" s="114" t="str">
        <f t="array" ref="C410">ifs(and(isblank($A410),isblank($B410)),"", not(iserror(vlookup($A410&amp;$B410,'3) Release_Label'!$D:$D&amp;'3) Release_Label'!$E:$E,1,0))),vlookup($A410&amp;$B410,{'3) Release_Label'!$D:$D&amp;'3) Release_Label'!$E:$E,'3) Release_Label'!$F:$F},2,0),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D410" s="114" t="str">
        <f t="array" ref="D410">ifs(and(isblank($A410),isblank($B410)),"", not(iserror(vlookup($A410&amp;$B410,'3) Release_Label'!$D:$D&amp;'3) Release_Label'!$E:$E,1,0))),vlookup($A410&amp;$B410,{'3) Release_Label'!$D:$D&amp;'3) Release_Label'!$E:$E,'3) Release_Label'!$H:$H},2,0),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E410" s="128" t="str">
        <f t="shared" si="3"/>
        <v/>
      </c>
      <c r="G410" s="93"/>
      <c r="H410" s="133"/>
      <c r="J410" s="20"/>
      <c r="K410" s="94"/>
      <c r="L410" s="20"/>
      <c r="N410" s="20"/>
      <c r="O410" s="20"/>
      <c r="P410" s="20"/>
    </row>
    <row r="411">
      <c r="A411" s="28"/>
      <c r="B411" s="93"/>
      <c r="C411" s="114" t="str">
        <f t="array" ref="C411">ifs(and(isblank($A411),isblank($B411)),"", not(iserror(vlookup($A411&amp;$B411,'3) Release_Label'!$D:$D&amp;'3) Release_Label'!$E:$E,1,0))),vlookup($A411&amp;$B411,{'3) Release_Label'!$D:$D&amp;'3) Release_Label'!$E:$E,'3) Release_Label'!$F:$F},2,0),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D411" s="114" t="str">
        <f t="array" ref="D411">ifs(and(isblank($A411),isblank($B411)),"", not(iserror(vlookup($A411&amp;$B411,'3) Release_Label'!$D:$D&amp;'3) Release_Label'!$E:$E,1,0))),vlookup($A411&amp;$B411,{'3) Release_Label'!$D:$D&amp;'3) Release_Label'!$E:$E,'3) Release_Label'!$H:$H},2,0),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E411" s="128" t="str">
        <f t="shared" si="3"/>
        <v/>
      </c>
      <c r="G411" s="93"/>
      <c r="H411" s="133"/>
      <c r="J411" s="20"/>
      <c r="K411" s="94"/>
      <c r="L411" s="20"/>
      <c r="N411" s="20"/>
      <c r="O411" s="20"/>
      <c r="P411" s="20"/>
    </row>
    <row r="412">
      <c r="A412" s="28"/>
      <c r="B412" s="93"/>
      <c r="C412" s="114" t="str">
        <f t="array" ref="C412">ifs(and(isblank($A412),isblank($B412)),"", not(iserror(vlookup($A412&amp;$B412,'3) Release_Label'!$D:$D&amp;'3) Release_Label'!$E:$E,1,0))),vlookup($A412&amp;$B412,{'3) Release_Label'!$D:$D&amp;'3) Release_Label'!$E:$E,'3) Release_Label'!$F:$F},2,0),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D412" s="114" t="str">
        <f t="array" ref="D412">ifs(and(isblank($A412),isblank($B412)),"", not(iserror(vlookup($A412&amp;$B412,'3) Release_Label'!$D:$D&amp;'3) Release_Label'!$E:$E,1,0))),vlookup($A412&amp;$B412,{'3) Release_Label'!$D:$D&amp;'3) Release_Label'!$E:$E,'3) Release_Label'!$H:$H},2,0),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E412" s="128" t="str">
        <f t="shared" si="3"/>
        <v/>
      </c>
      <c r="G412" s="93"/>
      <c r="H412" s="133"/>
      <c r="J412" s="20"/>
      <c r="K412" s="94"/>
      <c r="L412" s="20"/>
      <c r="N412" s="20"/>
      <c r="O412" s="20"/>
      <c r="P412" s="20"/>
    </row>
    <row r="413">
      <c r="A413" s="28"/>
      <c r="B413" s="93"/>
      <c r="C413" s="114" t="str">
        <f t="array" ref="C413">ifs(and(isblank($A413),isblank($B413)),"", not(iserror(vlookup($A413&amp;$B413,'3) Release_Label'!$D:$D&amp;'3) Release_Label'!$E:$E,1,0))),vlookup($A413&amp;$B413,{'3) Release_Label'!$D:$D&amp;'3) Release_Label'!$E:$E,'3) Release_Label'!$F:$F},2,0),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D413" s="114" t="str">
        <f t="array" ref="D413">ifs(and(isblank($A413),isblank($B413)),"", not(iserror(vlookup($A413&amp;$B413,'3) Release_Label'!$D:$D&amp;'3) Release_Label'!$E:$E,1,0))),vlookup($A413&amp;$B413,{'3) Release_Label'!$D:$D&amp;'3) Release_Label'!$E:$E,'3) Release_Label'!$H:$H},2,0),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E413" s="128" t="str">
        <f t="shared" si="3"/>
        <v/>
      </c>
      <c r="G413" s="93"/>
      <c r="H413" s="133"/>
      <c r="J413" s="20"/>
      <c r="K413" s="94"/>
      <c r="L413" s="20"/>
      <c r="N413" s="20"/>
      <c r="O413" s="20"/>
      <c r="P413" s="20"/>
    </row>
    <row r="414">
      <c r="A414" s="28"/>
      <c r="B414" s="93"/>
      <c r="C414" s="114" t="str">
        <f t="array" ref="C414">ifs(and(isblank($A414),isblank($B414)),"", not(iserror(vlookup($A414&amp;$B414,'3) Release_Label'!$D:$D&amp;'3) Release_Label'!$E:$E,1,0))),vlookup($A414&amp;$B414,{'3) Release_Label'!$D:$D&amp;'3) Release_Label'!$E:$E,'3) Release_Label'!$F:$F},2,0),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D414" s="114" t="str">
        <f t="array" ref="D414">ifs(and(isblank($A414),isblank($B414)),"", not(iserror(vlookup($A414&amp;$B414,'3) Release_Label'!$D:$D&amp;'3) Release_Label'!$E:$E,1,0))),vlookup($A414&amp;$B414,{'3) Release_Label'!$D:$D&amp;'3) Release_Label'!$E:$E,'3) Release_Label'!$H:$H},2,0),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E414" s="128" t="str">
        <f t="shared" si="3"/>
        <v/>
      </c>
      <c r="G414" s="93"/>
      <c r="H414" s="133"/>
      <c r="J414" s="20"/>
      <c r="K414" s="94"/>
      <c r="L414" s="20"/>
      <c r="N414" s="20"/>
      <c r="O414" s="20"/>
      <c r="P414" s="20"/>
    </row>
    <row r="415">
      <c r="A415" s="28"/>
      <c r="B415" s="93"/>
      <c r="C415" s="114" t="str">
        <f t="array" ref="C415">ifs(and(isblank($A415),isblank($B415)),"", not(iserror(vlookup($A415&amp;$B415,'3) Release_Label'!$D:$D&amp;'3) Release_Label'!$E:$E,1,0))),vlookup($A415&amp;$B415,{'3) Release_Label'!$D:$D&amp;'3) Release_Label'!$E:$E,'3) Release_Label'!$F:$F},2,0),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D415" s="114" t="str">
        <f t="array" ref="D415">ifs(and(isblank($A415),isblank($B415)),"", not(iserror(vlookup($A415&amp;$B415,'3) Release_Label'!$D:$D&amp;'3) Release_Label'!$E:$E,1,0))),vlookup($A415&amp;$B415,{'3) Release_Label'!$D:$D&amp;'3) Release_Label'!$E:$E,'3) Release_Label'!$H:$H},2,0),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E415" s="128" t="str">
        <f t="shared" si="3"/>
        <v/>
      </c>
      <c r="G415" s="93"/>
      <c r="H415" s="133"/>
      <c r="J415" s="20"/>
      <c r="K415" s="94"/>
      <c r="L415" s="20"/>
      <c r="N415" s="20"/>
      <c r="O415" s="20"/>
      <c r="P415" s="20"/>
    </row>
    <row r="416">
      <c r="A416" s="28"/>
      <c r="B416" s="93"/>
      <c r="C416" s="114" t="str">
        <f t="array" ref="C416">ifs(and(isblank($A416),isblank($B416)),"", not(iserror(vlookup($A416&amp;$B416,'3) Release_Label'!$D:$D&amp;'3) Release_Label'!$E:$E,1,0))),vlookup($A416&amp;$B416,{'3) Release_Label'!$D:$D&amp;'3) Release_Label'!$E:$E,'3) Release_Label'!$F:$F},2,0),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D416" s="114" t="str">
        <f t="array" ref="D416">ifs(and(isblank($A416),isblank($B416)),"", not(iserror(vlookup($A416&amp;$B416,'3) Release_Label'!$D:$D&amp;'3) Release_Label'!$E:$E,1,0))),vlookup($A416&amp;$B416,{'3) Release_Label'!$D:$D&amp;'3) Release_Label'!$E:$E,'3) Release_Label'!$H:$H},2,0),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E416" s="128" t="str">
        <f t="shared" si="3"/>
        <v/>
      </c>
      <c r="G416" s="93"/>
      <c r="H416" s="133"/>
      <c r="J416" s="20"/>
      <c r="K416" s="94"/>
      <c r="L416" s="20"/>
      <c r="N416" s="20"/>
      <c r="O416" s="20"/>
      <c r="P416" s="20"/>
    </row>
    <row r="417">
      <c r="A417" s="28"/>
      <c r="B417" s="93"/>
      <c r="C417" s="114" t="str">
        <f t="array" ref="C417">ifs(and(isblank($A417),isblank($B417)),"", not(iserror(vlookup($A417&amp;$B417,'3) Release_Label'!$D:$D&amp;'3) Release_Label'!$E:$E,1,0))),vlookup($A417&amp;$B417,{'3) Release_Label'!$D:$D&amp;'3) Release_Label'!$E:$E,'3) Release_Label'!$F:$F},2,0),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D417" s="114" t="str">
        <f t="array" ref="D417">ifs(and(isblank($A417),isblank($B417)),"", not(iserror(vlookup($A417&amp;$B417,'3) Release_Label'!$D:$D&amp;'3) Release_Label'!$E:$E,1,0))),vlookup($A417&amp;$B417,{'3) Release_Label'!$D:$D&amp;'3) Release_Label'!$E:$E,'3) Release_Label'!$H:$H},2,0),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E417" s="128" t="str">
        <f t="shared" si="3"/>
        <v/>
      </c>
      <c r="G417" s="93"/>
      <c r="H417" s="133"/>
      <c r="J417" s="20"/>
      <c r="K417" s="94"/>
      <c r="L417" s="20"/>
      <c r="N417" s="20"/>
      <c r="O417" s="20"/>
      <c r="P417" s="20"/>
    </row>
    <row r="418">
      <c r="A418" s="28"/>
      <c r="B418" s="93"/>
      <c r="C418" s="114" t="str">
        <f t="array" ref="C418">ifs(and(isblank($A418),isblank($B418)),"", not(iserror(vlookup($A418&amp;$B418,'3) Release_Label'!$D:$D&amp;'3) Release_Label'!$E:$E,1,0))),vlookup($A418&amp;$B418,{'3) Release_Label'!$D:$D&amp;'3) Release_Label'!$E:$E,'3) Release_Label'!$F:$F},2,0),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D418" s="114" t="str">
        <f t="array" ref="D418">ifs(and(isblank($A418),isblank($B418)),"", not(iserror(vlookup($A418&amp;$B418,'3) Release_Label'!$D:$D&amp;'3) Release_Label'!$E:$E,1,0))),vlookup($A418&amp;$B418,{'3) Release_Label'!$D:$D&amp;'3) Release_Label'!$E:$E,'3) Release_Label'!$H:$H},2,0),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E418" s="128" t="str">
        <f t="shared" si="3"/>
        <v/>
      </c>
      <c r="G418" s="93"/>
      <c r="H418" s="133"/>
      <c r="J418" s="20"/>
      <c r="K418" s="94"/>
      <c r="L418" s="20"/>
      <c r="N418" s="20"/>
      <c r="O418" s="20"/>
      <c r="P418" s="20"/>
    </row>
    <row r="419">
      <c r="A419" s="28"/>
      <c r="B419" s="93"/>
      <c r="C419" s="114" t="str">
        <f t="array" ref="C419">ifs(and(isblank($A419),isblank($B419)),"", not(iserror(vlookup($A419&amp;$B419,'3) Release_Label'!$D:$D&amp;'3) Release_Label'!$E:$E,1,0))),vlookup($A419&amp;$B419,{'3) Release_Label'!$D:$D&amp;'3) Release_Label'!$E:$E,'3) Release_Label'!$F:$F},2,0),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D419" s="114" t="str">
        <f t="array" ref="D419">ifs(and(isblank($A419),isblank($B419)),"", not(iserror(vlookup($A419&amp;$B419,'3) Release_Label'!$D:$D&amp;'3) Release_Label'!$E:$E,1,0))),vlookup($A419&amp;$B419,{'3) Release_Label'!$D:$D&amp;'3) Release_Label'!$E:$E,'3) Release_Label'!$H:$H},2,0),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E419" s="128" t="str">
        <f t="shared" si="3"/>
        <v/>
      </c>
      <c r="G419" s="93"/>
      <c r="H419" s="133"/>
      <c r="J419" s="20"/>
      <c r="K419" s="94"/>
      <c r="L419" s="20"/>
      <c r="N419" s="20"/>
      <c r="O419" s="20"/>
      <c r="P419" s="20"/>
    </row>
    <row r="420">
      <c r="A420" s="28"/>
      <c r="B420" s="93"/>
      <c r="C420" s="114" t="str">
        <f t="array" ref="C420">ifs(and(isblank($A420),isblank($B420)),"", not(iserror(vlookup($A420&amp;$B420,'3) Release_Label'!$D:$D&amp;'3) Release_Label'!$E:$E,1,0))),vlookup($A420&amp;$B420,{'3) Release_Label'!$D:$D&amp;'3) Release_Label'!$E:$E,'3) Release_Label'!$F:$F},2,0),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D420" s="114" t="str">
        <f t="array" ref="D420">ifs(and(isblank($A420),isblank($B420)),"", not(iserror(vlookup($A420&amp;$B420,'3) Release_Label'!$D:$D&amp;'3) Release_Label'!$E:$E,1,0))),vlookup($A420&amp;$B420,{'3) Release_Label'!$D:$D&amp;'3) Release_Label'!$E:$E,'3) Release_Label'!$H:$H},2,0),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E420" s="128" t="str">
        <f t="shared" si="3"/>
        <v/>
      </c>
      <c r="G420" s="93"/>
      <c r="H420" s="133"/>
      <c r="J420" s="20"/>
      <c r="K420" s="94"/>
      <c r="L420" s="20"/>
      <c r="N420" s="20"/>
      <c r="O420" s="20"/>
      <c r="P420" s="20"/>
    </row>
    <row r="421">
      <c r="A421" s="28"/>
      <c r="B421" s="93"/>
      <c r="C421" s="114" t="str">
        <f t="array" ref="C421">ifs(and(isblank($A421),isblank($B421)),"", not(iserror(vlookup($A421&amp;$B421,'3) Release_Label'!$D:$D&amp;'3) Release_Label'!$E:$E,1,0))),vlookup($A421&amp;$B421,{'3) Release_Label'!$D:$D&amp;'3) Release_Label'!$E:$E,'3) Release_Label'!$F:$F},2,0),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D421" s="114" t="str">
        <f t="array" ref="D421">ifs(and(isblank($A421),isblank($B421)),"", not(iserror(vlookup($A421&amp;$B421,'3) Release_Label'!$D:$D&amp;'3) Release_Label'!$E:$E,1,0))),vlookup($A421&amp;$B421,{'3) Release_Label'!$D:$D&amp;'3) Release_Label'!$E:$E,'3) Release_Label'!$H:$H},2,0),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E421" s="128" t="str">
        <f t="shared" si="3"/>
        <v/>
      </c>
      <c r="G421" s="93"/>
      <c r="H421" s="133"/>
      <c r="J421" s="20"/>
      <c r="K421" s="94"/>
      <c r="L421" s="20"/>
      <c r="N421" s="20"/>
      <c r="O421" s="20"/>
      <c r="P421" s="20"/>
    </row>
    <row r="422">
      <c r="A422" s="28"/>
      <c r="B422" s="93"/>
      <c r="C422" s="114" t="str">
        <f t="array" ref="C422">ifs(and(isblank($A422),isblank($B422)),"", not(iserror(vlookup($A422&amp;$B422,'3) Release_Label'!$D:$D&amp;'3) Release_Label'!$E:$E,1,0))),vlookup($A422&amp;$B422,{'3) Release_Label'!$D:$D&amp;'3) Release_Label'!$E:$E,'3) Release_Label'!$F:$F},2,0),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D422" s="114" t="str">
        <f t="array" ref="D422">ifs(and(isblank($A422),isblank($B422)),"", not(iserror(vlookup($A422&amp;$B422,'3) Release_Label'!$D:$D&amp;'3) Release_Label'!$E:$E,1,0))),vlookup($A422&amp;$B422,{'3) Release_Label'!$D:$D&amp;'3) Release_Label'!$E:$E,'3) Release_Label'!$H:$H},2,0),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E422" s="128" t="str">
        <f t="shared" si="3"/>
        <v/>
      </c>
      <c r="G422" s="93"/>
      <c r="H422" s="133"/>
      <c r="J422" s="20"/>
      <c r="K422" s="94"/>
      <c r="L422" s="20"/>
      <c r="N422" s="20"/>
      <c r="O422" s="20"/>
      <c r="P422" s="20"/>
    </row>
    <row r="423">
      <c r="A423" s="28"/>
      <c r="B423" s="93"/>
      <c r="C423" s="114" t="str">
        <f t="array" ref="C423">ifs(and(isblank($A423),isblank($B423)),"", not(iserror(vlookup($A423&amp;$B423,'3) Release_Label'!$D:$D&amp;'3) Release_Label'!$E:$E,1,0))),vlookup($A423&amp;$B423,{'3) Release_Label'!$D:$D&amp;'3) Release_Label'!$E:$E,'3) Release_Label'!$F:$F},2,0),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D423" s="114" t="str">
        <f t="array" ref="D423">ifs(and(isblank($A423),isblank($B423)),"", not(iserror(vlookup($A423&amp;$B423,'3) Release_Label'!$D:$D&amp;'3) Release_Label'!$E:$E,1,0))),vlookup($A423&amp;$B423,{'3) Release_Label'!$D:$D&amp;'3) Release_Label'!$E:$E,'3) Release_Label'!$H:$H},2,0),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E423" s="128" t="str">
        <f t="shared" si="3"/>
        <v/>
      </c>
      <c r="G423" s="93"/>
      <c r="H423" s="133"/>
      <c r="J423" s="20"/>
      <c r="K423" s="94"/>
      <c r="L423" s="20"/>
      <c r="N423" s="20"/>
      <c r="O423" s="20"/>
      <c r="P423" s="20"/>
    </row>
    <row r="424">
      <c r="A424" s="28"/>
      <c r="B424" s="93"/>
      <c r="C424" s="114" t="str">
        <f t="array" ref="C424">ifs(and(isblank($A424),isblank($B424)),"", not(iserror(vlookup($A424&amp;$B424,'3) Release_Label'!$D:$D&amp;'3) Release_Label'!$E:$E,1,0))),vlookup($A424&amp;$B424,{'3) Release_Label'!$D:$D&amp;'3) Release_Label'!$E:$E,'3) Release_Label'!$F:$F},2,0),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D424" s="114" t="str">
        <f t="array" ref="D424">ifs(and(isblank($A424),isblank($B424)),"", not(iserror(vlookup($A424&amp;$B424,'3) Release_Label'!$D:$D&amp;'3) Release_Label'!$E:$E,1,0))),vlookup($A424&amp;$B424,{'3) Release_Label'!$D:$D&amp;'3) Release_Label'!$E:$E,'3) Release_Label'!$H:$H},2,0),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E424" s="128" t="str">
        <f t="shared" si="3"/>
        <v/>
      </c>
      <c r="G424" s="93"/>
      <c r="H424" s="133"/>
      <c r="J424" s="20"/>
      <c r="K424" s="94"/>
      <c r="L424" s="20"/>
      <c r="N424" s="20"/>
      <c r="O424" s="20"/>
      <c r="P424" s="20"/>
    </row>
    <row r="425">
      <c r="A425" s="28"/>
      <c r="B425" s="93"/>
      <c r="C425" s="114" t="str">
        <f t="array" ref="C425">ifs(and(isblank($A425),isblank($B425)),"", not(iserror(vlookup($A425&amp;$B425,'3) Release_Label'!$D:$D&amp;'3) Release_Label'!$E:$E,1,0))),vlookup($A425&amp;$B425,{'3) Release_Label'!$D:$D&amp;'3) Release_Label'!$E:$E,'3) Release_Label'!$F:$F},2,0),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D425" s="114" t="str">
        <f t="array" ref="D425">ifs(and(isblank($A425),isblank($B425)),"", not(iserror(vlookup($A425&amp;$B425,'3) Release_Label'!$D:$D&amp;'3) Release_Label'!$E:$E,1,0))),vlookup($A425&amp;$B425,{'3) Release_Label'!$D:$D&amp;'3) Release_Label'!$E:$E,'3) Release_Label'!$H:$H},2,0),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E425" s="128" t="str">
        <f t="shared" si="3"/>
        <v/>
      </c>
      <c r="G425" s="93"/>
      <c r="H425" s="133"/>
      <c r="J425" s="20"/>
      <c r="K425" s="94"/>
      <c r="L425" s="20"/>
      <c r="N425" s="20"/>
      <c r="O425" s="20"/>
      <c r="P425" s="20"/>
    </row>
    <row r="426">
      <c r="A426" s="28"/>
      <c r="B426" s="93"/>
      <c r="C426" s="114" t="str">
        <f t="array" ref="C426">ifs(and(isblank($A426),isblank($B426)),"", not(iserror(vlookup($A426&amp;$B426,'3) Release_Label'!$D:$D&amp;'3) Release_Label'!$E:$E,1,0))),vlookup($A426&amp;$B426,{'3) Release_Label'!$D:$D&amp;'3) Release_Label'!$E:$E,'3) Release_Label'!$F:$F},2,0),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D426" s="114" t="str">
        <f t="array" ref="D426">ifs(and(isblank($A426),isblank($B426)),"", not(iserror(vlookup($A426&amp;$B426,'3) Release_Label'!$D:$D&amp;'3) Release_Label'!$E:$E,1,0))),vlookup($A426&amp;$B426,{'3) Release_Label'!$D:$D&amp;'3) Release_Label'!$E:$E,'3) Release_Label'!$H:$H},2,0),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E426" s="128" t="str">
        <f t="shared" si="3"/>
        <v/>
      </c>
      <c r="G426" s="93"/>
      <c r="H426" s="133"/>
      <c r="J426" s="20"/>
      <c r="K426" s="94"/>
      <c r="L426" s="20"/>
      <c r="N426" s="20"/>
      <c r="O426" s="20"/>
      <c r="P426" s="20"/>
    </row>
    <row r="427">
      <c r="A427" s="28"/>
      <c r="B427" s="93"/>
      <c r="C427" s="114" t="str">
        <f t="array" ref="C427">ifs(and(isblank($A427),isblank($B427)),"", not(iserror(vlookup($A427&amp;$B427,'3) Release_Label'!$D:$D&amp;'3) Release_Label'!$E:$E,1,0))),vlookup($A427&amp;$B427,{'3) Release_Label'!$D:$D&amp;'3) Release_Label'!$E:$E,'3) Release_Label'!$F:$F},2,0),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D427" s="114" t="str">
        <f t="array" ref="D427">ifs(and(isblank($A427),isblank($B427)),"", not(iserror(vlookup($A427&amp;$B427,'3) Release_Label'!$D:$D&amp;'3) Release_Label'!$E:$E,1,0))),vlookup($A427&amp;$B427,{'3) Release_Label'!$D:$D&amp;'3) Release_Label'!$E:$E,'3) Release_Label'!$H:$H},2,0),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E427" s="128" t="str">
        <f t="shared" si="3"/>
        <v/>
      </c>
      <c r="G427" s="93"/>
      <c r="H427" s="133"/>
      <c r="J427" s="20"/>
      <c r="K427" s="94"/>
      <c r="L427" s="20"/>
      <c r="N427" s="20"/>
      <c r="O427" s="20"/>
      <c r="P427" s="20"/>
    </row>
    <row r="428">
      <c r="A428" s="28"/>
      <c r="B428" s="93"/>
      <c r="C428" s="114" t="str">
        <f t="array" ref="C428">ifs(and(isblank($A428),isblank($B428)),"", not(iserror(vlookup($A428&amp;$B428,'3) Release_Label'!$D:$D&amp;'3) Release_Label'!$E:$E,1,0))),vlookup($A428&amp;$B428,{'3) Release_Label'!$D:$D&amp;'3) Release_Label'!$E:$E,'3) Release_Label'!$F:$F},2,0),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D428" s="114" t="str">
        <f t="array" ref="D428">ifs(and(isblank($A428),isblank($B428)),"", not(iserror(vlookup($A428&amp;$B428,'3) Release_Label'!$D:$D&amp;'3) Release_Label'!$E:$E,1,0))),vlookup($A428&amp;$B428,{'3) Release_Label'!$D:$D&amp;'3) Release_Label'!$E:$E,'3) Release_Label'!$H:$H},2,0),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E428" s="128" t="str">
        <f t="shared" si="3"/>
        <v/>
      </c>
      <c r="G428" s="93"/>
      <c r="H428" s="133"/>
      <c r="J428" s="20"/>
      <c r="K428" s="94"/>
      <c r="L428" s="20"/>
      <c r="N428" s="20"/>
      <c r="O428" s="20"/>
      <c r="P428" s="20"/>
    </row>
    <row r="429">
      <c r="A429" s="28"/>
      <c r="B429" s="93"/>
      <c r="C429" s="114" t="str">
        <f t="array" ref="C429">ifs(and(isblank($A429),isblank($B429)),"", not(iserror(vlookup($A429&amp;$B429,'3) Release_Label'!$D:$D&amp;'3) Release_Label'!$E:$E,1,0))),vlookup($A429&amp;$B429,{'3) Release_Label'!$D:$D&amp;'3) Release_Label'!$E:$E,'3) Release_Label'!$F:$F},2,0),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D429" s="114" t="str">
        <f t="array" ref="D429">ifs(and(isblank($A429),isblank($B429)),"", not(iserror(vlookup($A429&amp;$B429,'3) Release_Label'!$D:$D&amp;'3) Release_Label'!$E:$E,1,0))),vlookup($A429&amp;$B429,{'3) Release_Label'!$D:$D&amp;'3) Release_Label'!$E:$E,'3) Release_Label'!$H:$H},2,0),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E429" s="128" t="str">
        <f t="shared" si="3"/>
        <v/>
      </c>
      <c r="G429" s="93"/>
      <c r="H429" s="133"/>
      <c r="J429" s="20"/>
      <c r="K429" s="94"/>
      <c r="L429" s="20"/>
      <c r="N429" s="20"/>
      <c r="O429" s="20"/>
      <c r="P429" s="20"/>
    </row>
    <row r="430">
      <c r="A430" s="28"/>
      <c r="B430" s="93"/>
      <c r="C430" s="114" t="str">
        <f t="array" ref="C430">ifs(and(isblank($A430),isblank($B430)),"", not(iserror(vlookup($A430&amp;$B430,'3) Release_Label'!$D:$D&amp;'3) Release_Label'!$E:$E,1,0))),vlookup($A430&amp;$B430,{'3) Release_Label'!$D:$D&amp;'3) Release_Label'!$E:$E,'3) Release_Label'!$F:$F},2,0),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D430" s="114" t="str">
        <f t="array" ref="D430">ifs(and(isblank($A430),isblank($B430)),"", not(iserror(vlookup($A430&amp;$B430,'3) Release_Label'!$D:$D&amp;'3) Release_Label'!$E:$E,1,0))),vlookup($A430&amp;$B430,{'3) Release_Label'!$D:$D&amp;'3) Release_Label'!$E:$E,'3) Release_Label'!$H:$H},2,0),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E430" s="128" t="str">
        <f t="shared" si="3"/>
        <v/>
      </c>
      <c r="G430" s="93"/>
      <c r="H430" s="133"/>
      <c r="J430" s="20"/>
      <c r="K430" s="94"/>
      <c r="L430" s="20"/>
      <c r="N430" s="20"/>
      <c r="O430" s="20"/>
      <c r="P430" s="20"/>
    </row>
    <row r="431">
      <c r="A431" s="28"/>
      <c r="B431" s="93"/>
      <c r="C431" s="114" t="str">
        <f t="array" ref="C431">ifs(and(isblank($A431),isblank($B431)),"", not(iserror(vlookup($A431&amp;$B431,'3) Release_Label'!$D:$D&amp;'3) Release_Label'!$E:$E,1,0))),vlookup($A431&amp;$B431,{'3) Release_Label'!$D:$D&amp;'3) Release_Label'!$E:$E,'3) Release_Label'!$F:$F},2,0),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D431" s="114" t="str">
        <f t="array" ref="D431">ifs(and(isblank($A431),isblank($B431)),"", not(iserror(vlookup($A431&amp;$B431,'3) Release_Label'!$D:$D&amp;'3) Release_Label'!$E:$E,1,0))),vlookup($A431&amp;$B431,{'3) Release_Label'!$D:$D&amp;'3) Release_Label'!$E:$E,'3) Release_Label'!$H:$H},2,0),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E431" s="128" t="str">
        <f t="shared" si="3"/>
        <v/>
      </c>
      <c r="G431" s="93"/>
      <c r="H431" s="133"/>
      <c r="J431" s="20"/>
      <c r="K431" s="94"/>
      <c r="L431" s="20"/>
      <c r="N431" s="20"/>
      <c r="O431" s="20"/>
      <c r="P431" s="20"/>
    </row>
    <row r="432">
      <c r="A432" s="28"/>
      <c r="B432" s="93"/>
      <c r="C432" s="114" t="str">
        <f t="array" ref="C432">ifs(and(isblank($A432),isblank($B432)),"", not(iserror(vlookup($A432&amp;$B432,'3) Release_Label'!$D:$D&amp;'3) Release_Label'!$E:$E,1,0))),vlookup($A432&amp;$B432,{'3) Release_Label'!$D:$D&amp;'3) Release_Label'!$E:$E,'3) Release_Label'!$F:$F},2,0),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D432" s="114" t="str">
        <f t="array" ref="D432">ifs(and(isblank($A432),isblank($B432)),"", not(iserror(vlookup($A432&amp;$B432,'3) Release_Label'!$D:$D&amp;'3) Release_Label'!$E:$E,1,0))),vlookup($A432&amp;$B432,{'3) Release_Label'!$D:$D&amp;'3) Release_Label'!$E:$E,'3) Release_Label'!$H:$H},2,0),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E432" s="128" t="str">
        <f t="shared" si="3"/>
        <v/>
      </c>
      <c r="G432" s="93"/>
      <c r="H432" s="133"/>
      <c r="J432" s="20"/>
      <c r="K432" s="94"/>
      <c r="L432" s="20"/>
      <c r="N432" s="20"/>
      <c r="O432" s="20"/>
      <c r="P432" s="20"/>
    </row>
    <row r="433">
      <c r="A433" s="28"/>
      <c r="B433" s="93"/>
      <c r="C433" s="114" t="str">
        <f t="array" ref="C433">ifs(and(isblank($A433),isblank($B433)),"", not(iserror(vlookup($A433&amp;$B433,'3) Release_Label'!$D:$D&amp;'3) Release_Label'!$E:$E,1,0))),vlookup($A433&amp;$B433,{'3) Release_Label'!$D:$D&amp;'3) Release_Label'!$E:$E,'3) Release_Label'!$F:$F},2,0),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D433" s="114" t="str">
        <f t="array" ref="D433">ifs(and(isblank($A433),isblank($B433)),"", not(iserror(vlookup($A433&amp;$B433,'3) Release_Label'!$D:$D&amp;'3) Release_Label'!$E:$E,1,0))),vlookup($A433&amp;$B433,{'3) Release_Label'!$D:$D&amp;'3) Release_Label'!$E:$E,'3) Release_Label'!$H:$H},2,0),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E433" s="128" t="str">
        <f t="shared" si="3"/>
        <v/>
      </c>
      <c r="G433" s="93"/>
      <c r="H433" s="133"/>
      <c r="J433" s="20"/>
      <c r="K433" s="94"/>
      <c r="L433" s="20"/>
      <c r="N433" s="20"/>
      <c r="O433" s="20"/>
      <c r="P433" s="20"/>
    </row>
    <row r="434">
      <c r="A434" s="28"/>
      <c r="B434" s="93"/>
      <c r="C434" s="114" t="str">
        <f t="array" ref="C434">ifs(and(isblank($A434),isblank($B434)),"", not(iserror(vlookup($A434&amp;$B434,'3) Release_Label'!$D:$D&amp;'3) Release_Label'!$E:$E,1,0))),vlookup($A434&amp;$B434,{'3) Release_Label'!$D:$D&amp;'3) Release_Label'!$E:$E,'3) Release_Label'!$F:$F},2,0),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D434" s="114" t="str">
        <f t="array" ref="D434">ifs(and(isblank($A434),isblank($B434)),"", not(iserror(vlookup($A434&amp;$B434,'3) Release_Label'!$D:$D&amp;'3) Release_Label'!$E:$E,1,0))),vlookup($A434&amp;$B434,{'3) Release_Label'!$D:$D&amp;'3) Release_Label'!$E:$E,'3) Release_Label'!$H:$H},2,0),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E434" s="128" t="str">
        <f t="shared" si="3"/>
        <v/>
      </c>
      <c r="G434" s="93"/>
      <c r="H434" s="133"/>
      <c r="J434" s="20"/>
      <c r="K434" s="94"/>
      <c r="L434" s="20"/>
      <c r="N434" s="20"/>
      <c r="O434" s="20"/>
      <c r="P434" s="20"/>
    </row>
    <row r="435">
      <c r="A435" s="28"/>
      <c r="B435" s="93"/>
      <c r="C435" s="114" t="str">
        <f t="array" ref="C435">ifs(and(isblank($A435),isblank($B435)),"", not(iserror(vlookup($A435&amp;$B435,'3) Release_Label'!$D:$D&amp;'3) Release_Label'!$E:$E,1,0))),vlookup($A435&amp;$B435,{'3) Release_Label'!$D:$D&amp;'3) Release_Label'!$E:$E,'3) Release_Label'!$F:$F},2,0),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D435" s="114" t="str">
        <f t="array" ref="D435">ifs(and(isblank($A435),isblank($B435)),"", not(iserror(vlookup($A435&amp;$B435,'3) Release_Label'!$D:$D&amp;'3) Release_Label'!$E:$E,1,0))),vlookup($A435&amp;$B435,{'3) Release_Label'!$D:$D&amp;'3) Release_Label'!$E:$E,'3) Release_Label'!$H:$H},2,0),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E435" s="128" t="str">
        <f t="shared" si="3"/>
        <v/>
      </c>
      <c r="G435" s="93"/>
      <c r="H435" s="133"/>
      <c r="J435" s="20"/>
      <c r="K435" s="94"/>
      <c r="L435" s="20"/>
      <c r="N435" s="20"/>
      <c r="O435" s="20"/>
      <c r="P435" s="20"/>
    </row>
    <row r="436">
      <c r="A436" s="28"/>
      <c r="B436" s="93"/>
      <c r="C436" s="114" t="str">
        <f t="array" ref="C436">ifs(and(isblank($A436),isblank($B436)),"", not(iserror(vlookup($A436&amp;$B436,'3) Release_Label'!$D:$D&amp;'3) Release_Label'!$E:$E,1,0))),vlookup($A436&amp;$B436,{'3) Release_Label'!$D:$D&amp;'3) Release_Label'!$E:$E,'3) Release_Label'!$F:$F},2,0),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D436" s="114" t="str">
        <f t="array" ref="D436">ifs(and(isblank($A436),isblank($B436)),"", not(iserror(vlookup($A436&amp;$B436,'3) Release_Label'!$D:$D&amp;'3) Release_Label'!$E:$E,1,0))),vlookup($A436&amp;$B436,{'3) Release_Label'!$D:$D&amp;'3) Release_Label'!$E:$E,'3) Release_Label'!$H:$H},2,0),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E436" s="128" t="str">
        <f t="shared" si="3"/>
        <v/>
      </c>
      <c r="G436" s="93"/>
      <c r="H436" s="133"/>
      <c r="J436" s="20"/>
      <c r="K436" s="94"/>
      <c r="L436" s="20"/>
      <c r="N436" s="20"/>
      <c r="O436" s="20"/>
      <c r="P436" s="20"/>
    </row>
    <row r="437">
      <c r="A437" s="28"/>
      <c r="B437" s="93"/>
      <c r="C437" s="114" t="str">
        <f t="array" ref="C437">ifs(and(isblank($A437),isblank($B437)),"", not(iserror(vlookup($A437&amp;$B437,'3) Release_Label'!$D:$D&amp;'3) Release_Label'!$E:$E,1,0))),vlookup($A437&amp;$B437,{'3) Release_Label'!$D:$D&amp;'3) Release_Label'!$E:$E,'3) Release_Label'!$F:$F},2,0),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D437" s="114" t="str">
        <f t="array" ref="D437">ifs(and(isblank($A437),isblank($B437)),"", not(iserror(vlookup($A437&amp;$B437,'3) Release_Label'!$D:$D&amp;'3) Release_Label'!$E:$E,1,0))),vlookup($A437&amp;$B437,{'3) Release_Label'!$D:$D&amp;'3) Release_Label'!$E:$E,'3) Release_Label'!$H:$H},2,0),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E437" s="128" t="str">
        <f t="shared" si="3"/>
        <v/>
      </c>
      <c r="G437" s="93"/>
      <c r="H437" s="133"/>
      <c r="J437" s="20"/>
      <c r="K437" s="94"/>
      <c r="L437" s="20"/>
      <c r="N437" s="20"/>
      <c r="O437" s="20"/>
      <c r="P437" s="20"/>
    </row>
    <row r="438">
      <c r="A438" s="28"/>
      <c r="B438" s="93"/>
      <c r="C438" s="114" t="str">
        <f t="array" ref="C438">ifs(and(isblank($A438),isblank($B438)),"", not(iserror(vlookup($A438&amp;$B438,'3) Release_Label'!$D:$D&amp;'3) Release_Label'!$E:$E,1,0))),vlookup($A438&amp;$B438,{'3) Release_Label'!$D:$D&amp;'3) Release_Label'!$E:$E,'3) Release_Label'!$F:$F},2,0),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D438" s="114" t="str">
        <f t="array" ref="D438">ifs(and(isblank($A438),isblank($B438)),"", not(iserror(vlookup($A438&amp;$B438,'3) Release_Label'!$D:$D&amp;'3) Release_Label'!$E:$E,1,0))),vlookup($A438&amp;$B438,{'3) Release_Label'!$D:$D&amp;'3) Release_Label'!$E:$E,'3) Release_Label'!$H:$H},2,0),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E438" s="128" t="str">
        <f t="shared" si="3"/>
        <v/>
      </c>
      <c r="G438" s="93"/>
      <c r="H438" s="133"/>
      <c r="J438" s="20"/>
      <c r="K438" s="94"/>
      <c r="L438" s="20"/>
      <c r="N438" s="20"/>
      <c r="O438" s="20"/>
      <c r="P438" s="20"/>
    </row>
    <row r="439">
      <c r="A439" s="28"/>
      <c r="B439" s="93"/>
      <c r="C439" s="114" t="str">
        <f t="array" ref="C439">ifs(and(isblank($A439),isblank($B439)),"", not(iserror(vlookup($A439&amp;$B439,'3) Release_Label'!$D:$D&amp;'3) Release_Label'!$E:$E,1,0))),vlookup($A439&amp;$B439,{'3) Release_Label'!$D:$D&amp;'3) Release_Label'!$E:$E,'3) Release_Label'!$F:$F},2,0),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D439" s="114" t="str">
        <f t="array" ref="D439">ifs(and(isblank($A439),isblank($B439)),"", not(iserror(vlookup($A439&amp;$B439,'3) Release_Label'!$D:$D&amp;'3) Release_Label'!$E:$E,1,0))),vlookup($A439&amp;$B439,{'3) Release_Label'!$D:$D&amp;'3) Release_Label'!$E:$E,'3) Release_Label'!$H:$H},2,0),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E439" s="128" t="str">
        <f t="shared" si="3"/>
        <v/>
      </c>
      <c r="G439" s="93"/>
      <c r="H439" s="133"/>
      <c r="J439" s="20"/>
      <c r="K439" s="94"/>
      <c r="L439" s="20"/>
      <c r="N439" s="20"/>
      <c r="O439" s="20"/>
      <c r="P439" s="20"/>
    </row>
    <row r="440">
      <c r="A440" s="28"/>
      <c r="B440" s="93"/>
      <c r="C440" s="114" t="str">
        <f t="array" ref="C440">ifs(and(isblank($A440),isblank($B440)),"", not(iserror(vlookup($A440&amp;$B440,'3) Release_Label'!$D:$D&amp;'3) Release_Label'!$E:$E,1,0))),vlookup($A440&amp;$B440,{'3) Release_Label'!$D:$D&amp;'3) Release_Label'!$E:$E,'3) Release_Label'!$F:$F},2,0),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D440" s="114" t="str">
        <f t="array" ref="D440">ifs(and(isblank($A440),isblank($B440)),"", not(iserror(vlookup($A440&amp;$B440,'3) Release_Label'!$D:$D&amp;'3) Release_Label'!$E:$E,1,0))),vlookup($A440&amp;$B440,{'3) Release_Label'!$D:$D&amp;'3) Release_Label'!$E:$E,'3) Release_Label'!$H:$H},2,0),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E440" s="128" t="str">
        <f t="shared" si="3"/>
        <v/>
      </c>
      <c r="G440" s="93"/>
      <c r="H440" s="133"/>
      <c r="J440" s="20"/>
      <c r="K440" s="94"/>
      <c r="L440" s="20"/>
      <c r="N440" s="20"/>
      <c r="O440" s="20"/>
      <c r="P440" s="20"/>
    </row>
    <row r="441">
      <c r="A441" s="28"/>
      <c r="B441" s="93"/>
      <c r="C441" s="114" t="str">
        <f t="array" ref="C441">ifs(and(isblank($A441),isblank($B441)),"", not(iserror(vlookup($A441&amp;$B441,'3) Release_Label'!$D:$D&amp;'3) Release_Label'!$E:$E,1,0))),vlookup($A441&amp;$B441,{'3) Release_Label'!$D:$D&amp;'3) Release_Label'!$E:$E,'3) Release_Label'!$F:$F},2,0),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D441" s="114" t="str">
        <f t="array" ref="D441">ifs(and(isblank($A441),isblank($B441)),"", not(iserror(vlookup($A441&amp;$B441,'3) Release_Label'!$D:$D&amp;'3) Release_Label'!$E:$E,1,0))),vlookup($A441&amp;$B441,{'3) Release_Label'!$D:$D&amp;'3) Release_Label'!$E:$E,'3) Release_Label'!$H:$H},2,0),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E441" s="128" t="str">
        <f t="shared" si="3"/>
        <v/>
      </c>
      <c r="G441" s="93"/>
      <c r="H441" s="133"/>
      <c r="J441" s="20"/>
      <c r="K441" s="94"/>
      <c r="L441" s="20"/>
      <c r="N441" s="20"/>
      <c r="O441" s="20"/>
      <c r="P441" s="20"/>
    </row>
    <row r="442">
      <c r="A442" s="28"/>
      <c r="B442" s="93"/>
      <c r="C442" s="114" t="str">
        <f t="array" ref="C442">ifs(and(isblank($A442),isblank($B442)),"", not(iserror(vlookup($A442&amp;$B442,'3) Release_Label'!$D:$D&amp;'3) Release_Label'!$E:$E,1,0))),vlookup($A442&amp;$B442,{'3) Release_Label'!$D:$D&amp;'3) Release_Label'!$E:$E,'3) Release_Label'!$F:$F},2,0),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D442" s="114" t="str">
        <f t="array" ref="D442">ifs(and(isblank($A442),isblank($B442)),"", not(iserror(vlookup($A442&amp;$B442,'3) Release_Label'!$D:$D&amp;'3) Release_Label'!$E:$E,1,0))),vlookup($A442&amp;$B442,{'3) Release_Label'!$D:$D&amp;'3) Release_Label'!$E:$E,'3) Release_Label'!$H:$H},2,0),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E442" s="128" t="str">
        <f t="shared" si="3"/>
        <v/>
      </c>
      <c r="G442" s="93"/>
      <c r="H442" s="133"/>
      <c r="J442" s="20"/>
      <c r="K442" s="94"/>
      <c r="L442" s="20"/>
      <c r="N442" s="20"/>
      <c r="O442" s="20"/>
      <c r="P442" s="20"/>
    </row>
    <row r="443">
      <c r="A443" s="28"/>
      <c r="B443" s="93"/>
      <c r="C443" s="114" t="str">
        <f t="array" ref="C443">ifs(and(isblank($A443),isblank($B443)),"", not(iserror(vlookup($A443&amp;$B443,'3) Release_Label'!$D:$D&amp;'3) Release_Label'!$E:$E,1,0))),vlookup($A443&amp;$B443,{'3) Release_Label'!$D:$D&amp;'3) Release_Label'!$E:$E,'3) Release_Label'!$F:$F},2,0),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D443" s="114" t="str">
        <f t="array" ref="D443">ifs(and(isblank($A443),isblank($B443)),"", not(iserror(vlookup($A443&amp;$B443,'3) Release_Label'!$D:$D&amp;'3) Release_Label'!$E:$E,1,0))),vlookup($A443&amp;$B443,{'3) Release_Label'!$D:$D&amp;'3) Release_Label'!$E:$E,'3) Release_Label'!$H:$H},2,0),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E443" s="128" t="str">
        <f t="shared" si="3"/>
        <v/>
      </c>
      <c r="G443" s="93"/>
      <c r="H443" s="133"/>
      <c r="J443" s="20"/>
      <c r="K443" s="94"/>
      <c r="L443" s="20"/>
      <c r="N443" s="20"/>
      <c r="O443" s="20"/>
      <c r="P443" s="20"/>
    </row>
    <row r="444">
      <c r="A444" s="28"/>
      <c r="B444" s="93"/>
      <c r="C444" s="114" t="str">
        <f t="array" ref="C444">ifs(and(isblank($A444),isblank($B444)),"", not(iserror(vlookup($A444&amp;$B444,'3) Release_Label'!$D:$D&amp;'3) Release_Label'!$E:$E,1,0))),vlookup($A444&amp;$B444,{'3) Release_Label'!$D:$D&amp;'3) Release_Label'!$E:$E,'3) Release_Label'!$F:$F},2,0),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D444" s="114" t="str">
        <f t="array" ref="D444">ifs(and(isblank($A444),isblank($B444)),"", not(iserror(vlookup($A444&amp;$B444,'3) Release_Label'!$D:$D&amp;'3) Release_Label'!$E:$E,1,0))),vlookup($A444&amp;$B444,{'3) Release_Label'!$D:$D&amp;'3) Release_Label'!$E:$E,'3) Release_Label'!$H:$H},2,0),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E444" s="128" t="str">
        <f t="shared" si="3"/>
        <v/>
      </c>
      <c r="G444" s="93"/>
      <c r="H444" s="133"/>
      <c r="J444" s="20"/>
      <c r="K444" s="94"/>
      <c r="L444" s="20"/>
      <c r="N444" s="20"/>
      <c r="O444" s="20"/>
      <c r="P444" s="20"/>
    </row>
    <row r="445">
      <c r="A445" s="28"/>
      <c r="B445" s="93"/>
      <c r="C445" s="114" t="str">
        <f t="array" ref="C445">ifs(and(isblank($A445),isblank($B445)),"", not(iserror(vlookup($A445&amp;$B445,'3) Release_Label'!$D:$D&amp;'3) Release_Label'!$E:$E,1,0))),vlookup($A445&amp;$B445,{'3) Release_Label'!$D:$D&amp;'3) Release_Label'!$E:$E,'3) Release_Label'!$F:$F},2,0),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D445" s="114" t="str">
        <f t="array" ref="D445">ifs(and(isblank($A445),isblank($B445)),"", not(iserror(vlookup($A445&amp;$B445,'3) Release_Label'!$D:$D&amp;'3) Release_Label'!$E:$E,1,0))),vlookup($A445&amp;$B445,{'3) Release_Label'!$D:$D&amp;'3) Release_Label'!$E:$E,'3) Release_Label'!$H:$H},2,0),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E445" s="128" t="str">
        <f t="shared" si="3"/>
        <v/>
      </c>
      <c r="G445" s="93"/>
      <c r="H445" s="133"/>
      <c r="J445" s="20"/>
      <c r="K445" s="94"/>
      <c r="L445" s="20"/>
      <c r="N445" s="20"/>
      <c r="O445" s="20"/>
      <c r="P445" s="20"/>
    </row>
    <row r="446">
      <c r="A446" s="28"/>
      <c r="B446" s="93"/>
      <c r="C446" s="114" t="str">
        <f t="array" ref="C446">ifs(and(isblank($A446),isblank($B446)),"", not(iserror(vlookup($A446&amp;$B446,'3) Release_Label'!$D:$D&amp;'3) Release_Label'!$E:$E,1,0))),vlookup($A446&amp;$B446,{'3) Release_Label'!$D:$D&amp;'3) Release_Label'!$E:$E,'3) Release_Label'!$F:$F},2,0),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D446" s="114" t="str">
        <f t="array" ref="D446">ifs(and(isblank($A446),isblank($B446)),"", not(iserror(vlookup($A446&amp;$B446,'3) Release_Label'!$D:$D&amp;'3) Release_Label'!$E:$E,1,0))),vlookup($A446&amp;$B446,{'3) Release_Label'!$D:$D&amp;'3) Release_Label'!$E:$E,'3) Release_Label'!$H:$H},2,0),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E446" s="128" t="str">
        <f t="shared" si="3"/>
        <v/>
      </c>
      <c r="G446" s="93"/>
      <c r="H446" s="133"/>
      <c r="J446" s="20"/>
      <c r="K446" s="94"/>
      <c r="L446" s="20"/>
      <c r="N446" s="20"/>
      <c r="O446" s="20"/>
      <c r="P446" s="20"/>
    </row>
    <row r="447">
      <c r="A447" s="28"/>
      <c r="B447" s="93"/>
      <c r="C447" s="114" t="str">
        <f t="array" ref="C447">ifs(and(isblank($A447),isblank($B447)),"", not(iserror(vlookup($A447&amp;$B447,'3) Release_Label'!$D:$D&amp;'3) Release_Label'!$E:$E,1,0))),vlookup($A447&amp;$B447,{'3) Release_Label'!$D:$D&amp;'3) Release_Label'!$E:$E,'3) Release_Label'!$F:$F},2,0),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D447" s="114" t="str">
        <f t="array" ref="D447">ifs(and(isblank($A447),isblank($B447)),"", not(iserror(vlookup($A447&amp;$B447,'3) Release_Label'!$D:$D&amp;'3) Release_Label'!$E:$E,1,0))),vlookup($A447&amp;$B447,{'3) Release_Label'!$D:$D&amp;'3) Release_Label'!$E:$E,'3) Release_Label'!$H:$H},2,0),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E447" s="128" t="str">
        <f t="shared" si="3"/>
        <v/>
      </c>
      <c r="G447" s="93"/>
      <c r="H447" s="133"/>
      <c r="J447" s="20"/>
      <c r="K447" s="94"/>
      <c r="L447" s="20"/>
      <c r="N447" s="20"/>
      <c r="O447" s="20"/>
      <c r="P447" s="20"/>
    </row>
    <row r="448">
      <c r="A448" s="28"/>
      <c r="B448" s="93"/>
      <c r="C448" s="114" t="str">
        <f t="array" ref="C448">ifs(and(isblank($A448),isblank($B448)),"", not(iserror(vlookup($A448&amp;$B448,'3) Release_Label'!$D:$D&amp;'3) Release_Label'!$E:$E,1,0))),vlookup($A448&amp;$B448,{'3) Release_Label'!$D:$D&amp;'3) Release_Label'!$E:$E,'3) Release_Label'!$F:$F},2,0),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D448" s="114" t="str">
        <f t="array" ref="D448">ifs(and(isblank($A448),isblank($B448)),"", not(iserror(vlookup($A448&amp;$B448,'3) Release_Label'!$D:$D&amp;'3) Release_Label'!$E:$E,1,0))),vlookup($A448&amp;$B448,{'3) Release_Label'!$D:$D&amp;'3) Release_Label'!$E:$E,'3) Release_Label'!$H:$H},2,0),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E448" s="128" t="str">
        <f t="shared" si="3"/>
        <v/>
      </c>
      <c r="G448" s="93"/>
      <c r="H448" s="133"/>
      <c r="J448" s="20"/>
      <c r="K448" s="94"/>
      <c r="L448" s="20"/>
      <c r="N448" s="20"/>
      <c r="O448" s="20"/>
      <c r="P448" s="20"/>
    </row>
    <row r="449">
      <c r="A449" s="28"/>
      <c r="B449" s="93"/>
      <c r="C449" s="114" t="str">
        <f t="array" ref="C449">ifs(and(isblank($A449),isblank($B449)),"", not(iserror(vlookup($A449&amp;$B449,'3) Release_Label'!$D:$D&amp;'3) Release_Label'!$E:$E,1,0))),vlookup($A449&amp;$B449,{'3) Release_Label'!$D:$D&amp;'3) Release_Label'!$E:$E,'3) Release_Label'!$F:$F},2,0),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D449" s="114" t="str">
        <f t="array" ref="D449">ifs(and(isblank($A449),isblank($B449)),"", not(iserror(vlookup($A449&amp;$B449,'3) Release_Label'!$D:$D&amp;'3) Release_Label'!$E:$E,1,0))),vlookup($A449&amp;$B449,{'3) Release_Label'!$D:$D&amp;'3) Release_Label'!$E:$E,'3) Release_Label'!$H:$H},2,0),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E449" s="128" t="str">
        <f t="shared" si="3"/>
        <v/>
      </c>
      <c r="G449" s="93"/>
      <c r="H449" s="133"/>
      <c r="J449" s="20"/>
      <c r="K449" s="94"/>
      <c r="L449" s="20"/>
      <c r="N449" s="20"/>
      <c r="O449" s="20"/>
      <c r="P449" s="20"/>
    </row>
    <row r="450">
      <c r="A450" s="28"/>
      <c r="B450" s="93"/>
      <c r="C450" s="114" t="str">
        <f t="array" ref="C450">ifs(and(isblank($A450),isblank($B450)),"", not(iserror(vlookup($A450&amp;$B450,'3) Release_Label'!$D:$D&amp;'3) Release_Label'!$E:$E,1,0))),vlookup($A450&amp;$B450,{'3) Release_Label'!$D:$D&amp;'3) Release_Label'!$E:$E,'3) Release_Label'!$F:$F},2,0),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D450" s="114" t="str">
        <f t="array" ref="D450">ifs(and(isblank($A450),isblank($B450)),"", not(iserror(vlookup($A450&amp;$B450,'3) Release_Label'!$D:$D&amp;'3) Release_Label'!$E:$E,1,0))),vlookup($A450&amp;$B450,{'3) Release_Label'!$D:$D&amp;'3) Release_Label'!$E:$E,'3) Release_Label'!$H:$H},2,0),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E450" s="128" t="str">
        <f t="shared" si="3"/>
        <v/>
      </c>
      <c r="G450" s="93"/>
      <c r="H450" s="133"/>
      <c r="J450" s="20"/>
      <c r="K450" s="94"/>
      <c r="L450" s="20"/>
      <c r="N450" s="20"/>
      <c r="O450" s="20"/>
      <c r="P450" s="20"/>
    </row>
    <row r="451">
      <c r="A451" s="28"/>
      <c r="B451" s="93"/>
      <c r="C451" s="114" t="str">
        <f t="array" ref="C451">ifs(and(isblank($A451),isblank($B451)),"", not(iserror(vlookup($A451&amp;$B451,'3) Release_Label'!$D:$D&amp;'3) Release_Label'!$E:$E,1,0))),vlookup($A451&amp;$B451,{'3) Release_Label'!$D:$D&amp;'3) Release_Label'!$E:$E,'3) Release_Label'!$F:$F},2,0),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D451" s="114" t="str">
        <f t="array" ref="D451">ifs(and(isblank($A451),isblank($B451)),"", not(iserror(vlookup($A451&amp;$B451,'3) Release_Label'!$D:$D&amp;'3) Release_Label'!$E:$E,1,0))),vlookup($A451&amp;$B451,{'3) Release_Label'!$D:$D&amp;'3) Release_Label'!$E:$E,'3) Release_Label'!$H:$H},2,0),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E451" s="128" t="str">
        <f t="shared" si="3"/>
        <v/>
      </c>
      <c r="G451" s="93"/>
      <c r="H451" s="133"/>
      <c r="J451" s="20"/>
      <c r="K451" s="94"/>
      <c r="L451" s="20"/>
      <c r="N451" s="20"/>
      <c r="O451" s="20"/>
      <c r="P451" s="20"/>
    </row>
    <row r="452">
      <c r="A452" s="28"/>
      <c r="B452" s="93"/>
      <c r="C452" s="114" t="str">
        <f t="array" ref="C452">ifs(and(isblank($A452),isblank($B452)),"", not(iserror(vlookup($A452&amp;$B452,'3) Release_Label'!$D:$D&amp;'3) Release_Label'!$E:$E,1,0))),vlookup($A452&amp;$B452,{'3) Release_Label'!$D:$D&amp;'3) Release_Label'!$E:$E,'3) Release_Label'!$F:$F},2,0),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D452" s="114" t="str">
        <f t="array" ref="D452">ifs(and(isblank($A452),isblank($B452)),"", not(iserror(vlookup($A452&amp;$B452,'3) Release_Label'!$D:$D&amp;'3) Release_Label'!$E:$E,1,0))),vlookup($A452&amp;$B452,{'3) Release_Label'!$D:$D&amp;'3) Release_Label'!$E:$E,'3) Release_Label'!$H:$H},2,0),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E452" s="128" t="str">
        <f t="shared" si="3"/>
        <v/>
      </c>
      <c r="G452" s="93"/>
      <c r="H452" s="133"/>
      <c r="J452" s="20"/>
      <c r="K452" s="94"/>
      <c r="L452" s="20"/>
      <c r="N452" s="20"/>
      <c r="O452" s="20"/>
      <c r="P452" s="20"/>
    </row>
    <row r="453">
      <c r="A453" s="28"/>
      <c r="B453" s="93"/>
      <c r="C453" s="114" t="str">
        <f t="array" ref="C453">ifs(and(isblank($A453),isblank($B453)),"", not(iserror(vlookup($A453&amp;$B453,'3) Release_Label'!$D:$D&amp;'3) Release_Label'!$E:$E,1,0))),vlookup($A453&amp;$B453,{'3) Release_Label'!$D:$D&amp;'3) Release_Label'!$E:$E,'3) Release_Label'!$F:$F},2,0),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D453" s="114" t="str">
        <f t="array" ref="D453">ifs(and(isblank($A453),isblank($B453)),"", not(iserror(vlookup($A453&amp;$B453,'3) Release_Label'!$D:$D&amp;'3) Release_Label'!$E:$E,1,0))),vlookup($A453&amp;$B453,{'3) Release_Label'!$D:$D&amp;'3) Release_Label'!$E:$E,'3) Release_Label'!$H:$H},2,0),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E453" s="128" t="str">
        <f t="shared" si="3"/>
        <v/>
      </c>
      <c r="G453" s="93"/>
      <c r="H453" s="133"/>
      <c r="J453" s="20"/>
      <c r="K453" s="94"/>
      <c r="L453" s="20"/>
      <c r="N453" s="20"/>
      <c r="O453" s="20"/>
      <c r="P453" s="20"/>
    </row>
    <row r="454">
      <c r="A454" s="28"/>
      <c r="B454" s="93"/>
      <c r="C454" s="114" t="str">
        <f t="array" ref="C454">ifs(and(isblank($A454),isblank($B454)),"", not(iserror(vlookup($A454&amp;$B454,'3) Release_Label'!$D:$D&amp;'3) Release_Label'!$E:$E,1,0))),vlookup($A454&amp;$B454,{'3) Release_Label'!$D:$D&amp;'3) Release_Label'!$E:$E,'3) Release_Label'!$F:$F},2,0),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D454" s="114" t="str">
        <f t="array" ref="D454">ifs(and(isblank($A454),isblank($B454)),"", not(iserror(vlookup($A454&amp;$B454,'3) Release_Label'!$D:$D&amp;'3) Release_Label'!$E:$E,1,0))),vlookup($A454&amp;$B454,{'3) Release_Label'!$D:$D&amp;'3) Release_Label'!$E:$E,'3) Release_Label'!$H:$H},2,0),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E454" s="128" t="str">
        <f t="shared" si="3"/>
        <v/>
      </c>
      <c r="G454" s="93"/>
      <c r="H454" s="133"/>
      <c r="J454" s="20"/>
      <c r="K454" s="94"/>
      <c r="L454" s="20"/>
      <c r="N454" s="20"/>
      <c r="O454" s="20"/>
      <c r="P454" s="20"/>
    </row>
    <row r="455">
      <c r="A455" s="28"/>
      <c r="B455" s="93"/>
      <c r="C455" s="114" t="str">
        <f t="array" ref="C455">ifs(and(isblank($A455),isblank($B455)),"", not(iserror(vlookup($A455&amp;$B455,'3) Release_Label'!$D:$D&amp;'3) Release_Label'!$E:$E,1,0))),vlookup($A455&amp;$B455,{'3) Release_Label'!$D:$D&amp;'3) Release_Label'!$E:$E,'3) Release_Label'!$F:$F},2,0),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D455" s="114" t="str">
        <f t="array" ref="D455">ifs(and(isblank($A455),isblank($B455)),"", not(iserror(vlookup($A455&amp;$B455,'3) Release_Label'!$D:$D&amp;'3) Release_Label'!$E:$E,1,0))),vlookup($A455&amp;$B455,{'3) Release_Label'!$D:$D&amp;'3) Release_Label'!$E:$E,'3) Release_Label'!$H:$H},2,0),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E455" s="128" t="str">
        <f t="shared" si="3"/>
        <v/>
      </c>
      <c r="G455" s="93"/>
      <c r="H455" s="133"/>
      <c r="J455" s="20"/>
      <c r="K455" s="94"/>
      <c r="L455" s="20"/>
      <c r="N455" s="20"/>
      <c r="O455" s="20"/>
      <c r="P455" s="20"/>
    </row>
    <row r="456">
      <c r="A456" s="28"/>
      <c r="B456" s="93"/>
      <c r="C456" s="114" t="str">
        <f t="array" ref="C456">ifs(and(isblank($A456),isblank($B456)),"", not(iserror(vlookup($A456&amp;$B456,'3) Release_Label'!$D:$D&amp;'3) Release_Label'!$E:$E,1,0))),vlookup($A456&amp;$B456,{'3) Release_Label'!$D:$D&amp;'3) Release_Label'!$E:$E,'3) Release_Label'!$F:$F},2,0),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D456" s="114" t="str">
        <f t="array" ref="D456">ifs(and(isblank($A456),isblank($B456)),"", not(iserror(vlookup($A456&amp;$B456,'3) Release_Label'!$D:$D&amp;'3) Release_Label'!$E:$E,1,0))),vlookup($A456&amp;$B456,{'3) Release_Label'!$D:$D&amp;'3) Release_Label'!$E:$E,'3) Release_Label'!$H:$H},2,0),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E456" s="128" t="str">
        <f t="shared" si="3"/>
        <v/>
      </c>
      <c r="G456" s="93"/>
      <c r="H456" s="133"/>
      <c r="J456" s="20"/>
      <c r="K456" s="94"/>
      <c r="L456" s="20"/>
      <c r="N456" s="20"/>
      <c r="O456" s="20"/>
      <c r="P456" s="20"/>
    </row>
    <row r="457">
      <c r="A457" s="28"/>
      <c r="B457" s="93"/>
      <c r="C457" s="114" t="str">
        <f t="array" ref="C457">ifs(and(isblank($A457),isblank($B457)),"", not(iserror(vlookup($A457&amp;$B457,'3) Release_Label'!$D:$D&amp;'3) Release_Label'!$E:$E,1,0))),vlookup($A457&amp;$B457,{'3) Release_Label'!$D:$D&amp;'3) Release_Label'!$E:$E,'3) Release_Label'!$F:$F},2,0),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D457" s="114" t="str">
        <f t="array" ref="D457">ifs(and(isblank($A457),isblank($B457)),"", not(iserror(vlookup($A457&amp;$B457,'3) Release_Label'!$D:$D&amp;'3) Release_Label'!$E:$E,1,0))),vlookup($A457&amp;$B457,{'3) Release_Label'!$D:$D&amp;'3) Release_Label'!$E:$E,'3) Release_Label'!$H:$H},2,0),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E457" s="128" t="str">
        <f t="shared" si="3"/>
        <v/>
      </c>
      <c r="G457" s="93"/>
      <c r="H457" s="133"/>
      <c r="J457" s="20"/>
      <c r="K457" s="94"/>
      <c r="L457" s="20"/>
      <c r="N457" s="20"/>
      <c r="O457" s="20"/>
      <c r="P457" s="20"/>
    </row>
    <row r="458">
      <c r="A458" s="28"/>
      <c r="B458" s="93"/>
      <c r="C458" s="114" t="str">
        <f t="array" ref="C458">ifs(and(isblank($A458),isblank($B458)),"", not(iserror(vlookup($A458&amp;$B458,'3) Release_Label'!$D:$D&amp;'3) Release_Label'!$E:$E,1,0))),vlookup($A458&amp;$B458,{'3) Release_Label'!$D:$D&amp;'3) Release_Label'!$E:$E,'3) Release_Label'!$F:$F},2,0),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D458" s="114" t="str">
        <f t="array" ref="D458">ifs(and(isblank($A458),isblank($B458)),"", not(iserror(vlookup($A458&amp;$B458,'3) Release_Label'!$D:$D&amp;'3) Release_Label'!$E:$E,1,0))),vlookup($A458&amp;$B458,{'3) Release_Label'!$D:$D&amp;'3) Release_Label'!$E:$E,'3) Release_Label'!$H:$H},2,0),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E458" s="128" t="str">
        <f t="shared" si="3"/>
        <v/>
      </c>
      <c r="G458" s="93"/>
      <c r="H458" s="133"/>
      <c r="J458" s="20"/>
      <c r="K458" s="94"/>
      <c r="L458" s="20"/>
      <c r="N458" s="20"/>
      <c r="O458" s="20"/>
      <c r="P458" s="20"/>
    </row>
    <row r="459">
      <c r="A459" s="28"/>
      <c r="B459" s="93"/>
      <c r="C459" s="114" t="str">
        <f t="array" ref="C459">ifs(and(isblank($A459),isblank($B459)),"", not(iserror(vlookup($A459&amp;$B459,'3) Release_Label'!$D:$D&amp;'3) Release_Label'!$E:$E,1,0))),vlookup($A459&amp;$B459,{'3) Release_Label'!$D:$D&amp;'3) Release_Label'!$E:$E,'3) Release_Label'!$F:$F},2,0),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D459" s="114" t="str">
        <f t="array" ref="D459">ifs(and(isblank($A459),isblank($B459)),"", not(iserror(vlookup($A459&amp;$B459,'3) Release_Label'!$D:$D&amp;'3) Release_Label'!$E:$E,1,0))),vlookup($A459&amp;$B459,{'3) Release_Label'!$D:$D&amp;'3) Release_Label'!$E:$E,'3) Release_Label'!$H:$H},2,0),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E459" s="128" t="str">
        <f t="shared" si="3"/>
        <v/>
      </c>
      <c r="G459" s="93"/>
      <c r="H459" s="133"/>
      <c r="J459" s="20"/>
      <c r="K459" s="94"/>
      <c r="L459" s="20"/>
      <c r="N459" s="20"/>
      <c r="O459" s="20"/>
      <c r="P459" s="20"/>
    </row>
    <row r="460">
      <c r="A460" s="28"/>
      <c r="B460" s="93"/>
      <c r="C460" s="114" t="str">
        <f t="array" ref="C460">ifs(and(isblank($A460),isblank($B460)),"", not(iserror(vlookup($A460&amp;$B460,'3) Release_Label'!$D:$D&amp;'3) Release_Label'!$E:$E,1,0))),vlookup($A460&amp;$B460,{'3) Release_Label'!$D:$D&amp;'3) Release_Label'!$E:$E,'3) Release_Label'!$F:$F},2,0),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D460" s="114" t="str">
        <f t="array" ref="D460">ifs(and(isblank($A460),isblank($B460)),"", not(iserror(vlookup($A460&amp;$B460,'3) Release_Label'!$D:$D&amp;'3) Release_Label'!$E:$E,1,0))),vlookup($A460&amp;$B460,{'3) Release_Label'!$D:$D&amp;'3) Release_Label'!$E:$E,'3) Release_Label'!$H:$H},2,0),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E460" s="128" t="str">
        <f t="shared" si="3"/>
        <v/>
      </c>
      <c r="G460" s="93"/>
      <c r="H460" s="133"/>
      <c r="J460" s="20"/>
      <c r="K460" s="94"/>
      <c r="L460" s="20"/>
      <c r="N460" s="20"/>
      <c r="O460" s="20"/>
      <c r="P460" s="20"/>
    </row>
    <row r="461">
      <c r="A461" s="28"/>
      <c r="B461" s="93"/>
      <c r="C461" s="114" t="str">
        <f t="array" ref="C461">ifs(and(isblank($A461),isblank($B461)),"", not(iserror(vlookup($A461&amp;$B461,'3) Release_Label'!$D:$D&amp;'3) Release_Label'!$E:$E,1,0))),vlookup($A461&amp;$B461,{'3) Release_Label'!$D:$D&amp;'3) Release_Label'!$E:$E,'3) Release_Label'!$F:$F},2,0),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D461" s="114" t="str">
        <f t="array" ref="D461">ifs(and(isblank($A461),isblank($B461)),"", not(iserror(vlookup($A461&amp;$B461,'3) Release_Label'!$D:$D&amp;'3) Release_Label'!$E:$E,1,0))),vlookup($A461&amp;$B461,{'3) Release_Label'!$D:$D&amp;'3) Release_Label'!$E:$E,'3) Release_Label'!$H:$H},2,0),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E461" s="128" t="str">
        <f t="shared" si="3"/>
        <v/>
      </c>
      <c r="G461" s="93"/>
      <c r="H461" s="133"/>
      <c r="J461" s="20"/>
      <c r="K461" s="94"/>
      <c r="L461" s="20"/>
      <c r="N461" s="20"/>
      <c r="O461" s="20"/>
      <c r="P461" s="20"/>
    </row>
    <row r="462">
      <c r="A462" s="28"/>
      <c r="B462" s="93"/>
      <c r="C462" s="114" t="str">
        <f t="array" ref="C462">ifs(and(isblank($A462),isblank($B462)),"", not(iserror(vlookup($A462&amp;$B462,'3) Release_Label'!$D:$D&amp;'3) Release_Label'!$E:$E,1,0))),vlookup($A462&amp;$B462,{'3) Release_Label'!$D:$D&amp;'3) Release_Label'!$E:$E,'3) Release_Label'!$F:$F},2,0),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D462" s="114" t="str">
        <f t="array" ref="D462">ifs(and(isblank($A462),isblank($B462)),"", not(iserror(vlookup($A462&amp;$B462,'3) Release_Label'!$D:$D&amp;'3) Release_Label'!$E:$E,1,0))),vlookup($A462&amp;$B462,{'3) Release_Label'!$D:$D&amp;'3) Release_Label'!$E:$E,'3) Release_Label'!$H:$H},2,0),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E462" s="128" t="str">
        <f t="shared" si="3"/>
        <v/>
      </c>
      <c r="G462" s="93"/>
      <c r="H462" s="133"/>
      <c r="J462" s="20"/>
      <c r="K462" s="94"/>
      <c r="L462" s="20"/>
      <c r="N462" s="20"/>
      <c r="O462" s="20"/>
      <c r="P462" s="20"/>
    </row>
    <row r="463">
      <c r="A463" s="28"/>
      <c r="B463" s="93"/>
      <c r="C463" s="114" t="str">
        <f t="array" ref="C463">ifs(and(isblank($A463),isblank($B463)),"", not(iserror(vlookup($A463&amp;$B463,'3) Release_Label'!$D:$D&amp;'3) Release_Label'!$E:$E,1,0))),vlookup($A463&amp;$B463,{'3) Release_Label'!$D:$D&amp;'3) Release_Label'!$E:$E,'3) Release_Label'!$F:$F},2,0),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D463" s="114" t="str">
        <f t="array" ref="D463">ifs(and(isblank($A463),isblank($B463)),"", not(iserror(vlookup($A463&amp;$B463,'3) Release_Label'!$D:$D&amp;'3) Release_Label'!$E:$E,1,0))),vlookup($A463&amp;$B463,{'3) Release_Label'!$D:$D&amp;'3) Release_Label'!$E:$E,'3) Release_Label'!$H:$H},2,0),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E463" s="128" t="str">
        <f t="shared" si="3"/>
        <v/>
      </c>
      <c r="G463" s="93"/>
      <c r="H463" s="133"/>
      <c r="J463" s="20"/>
      <c r="K463" s="94"/>
      <c r="L463" s="20"/>
      <c r="N463" s="20"/>
      <c r="O463" s="20"/>
      <c r="P463" s="20"/>
    </row>
    <row r="464">
      <c r="A464" s="28"/>
      <c r="B464" s="93"/>
      <c r="C464" s="114" t="str">
        <f t="array" ref="C464">ifs(and(isblank($A464),isblank($B464)),"", not(iserror(vlookup($A464&amp;$B464,'3) Release_Label'!$D:$D&amp;'3) Release_Label'!$E:$E,1,0))),vlookup($A464&amp;$B464,{'3) Release_Label'!$D:$D&amp;'3) Release_Label'!$E:$E,'3) Release_Label'!$F:$F},2,0),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D464" s="114" t="str">
        <f t="array" ref="D464">ifs(and(isblank($A464),isblank($B464)),"", not(iserror(vlookup($A464&amp;$B464,'3) Release_Label'!$D:$D&amp;'3) Release_Label'!$E:$E,1,0))),vlookup($A464&amp;$B464,{'3) Release_Label'!$D:$D&amp;'3) Release_Label'!$E:$E,'3) Release_Label'!$H:$H},2,0),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E464" s="128" t="str">
        <f t="shared" si="3"/>
        <v/>
      </c>
      <c r="G464" s="93"/>
      <c r="H464" s="133"/>
      <c r="J464" s="20"/>
      <c r="K464" s="94"/>
      <c r="L464" s="20"/>
      <c r="N464" s="20"/>
      <c r="O464" s="20"/>
      <c r="P464" s="20"/>
    </row>
    <row r="465">
      <c r="A465" s="28"/>
      <c r="B465" s="93"/>
      <c r="C465" s="114" t="str">
        <f t="array" ref="C465">ifs(and(isblank($A465),isblank($B465)),"", not(iserror(vlookup($A465&amp;$B465,'3) Release_Label'!$D:$D&amp;'3) Release_Label'!$E:$E,1,0))),vlookup($A465&amp;$B465,{'3) Release_Label'!$D:$D&amp;'3) Release_Label'!$E:$E,'3) Release_Label'!$F:$F},2,0),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D465" s="114" t="str">
        <f t="array" ref="D465">ifs(and(isblank($A465),isblank($B465)),"", not(iserror(vlookup($A465&amp;$B465,'3) Release_Label'!$D:$D&amp;'3) Release_Label'!$E:$E,1,0))),vlookup($A465&amp;$B465,{'3) Release_Label'!$D:$D&amp;'3) Release_Label'!$E:$E,'3) Release_Label'!$H:$H},2,0),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E465" s="128" t="str">
        <f t="shared" si="3"/>
        <v/>
      </c>
      <c r="G465" s="93"/>
      <c r="H465" s="133"/>
      <c r="J465" s="20"/>
      <c r="K465" s="94"/>
      <c r="L465" s="20"/>
      <c r="N465" s="20"/>
      <c r="O465" s="20"/>
      <c r="P465" s="20"/>
    </row>
    <row r="466">
      <c r="A466" s="28"/>
      <c r="B466" s="93"/>
      <c r="C466" s="114" t="str">
        <f t="array" ref="C466">ifs(and(isblank($A466),isblank($B466)),"", not(iserror(vlookup($A466&amp;$B466,'3) Release_Label'!$D:$D&amp;'3) Release_Label'!$E:$E,1,0))),vlookup($A466&amp;$B466,{'3) Release_Label'!$D:$D&amp;'3) Release_Label'!$E:$E,'3) Release_Label'!$F:$F},2,0),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D466" s="114" t="str">
        <f t="array" ref="D466">ifs(and(isblank($A466),isblank($B466)),"", not(iserror(vlookup($A466&amp;$B466,'3) Release_Label'!$D:$D&amp;'3) Release_Label'!$E:$E,1,0))),vlookup($A466&amp;$B466,{'3) Release_Label'!$D:$D&amp;'3) Release_Label'!$E:$E,'3) Release_Label'!$H:$H},2,0),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E466" s="128" t="str">
        <f t="shared" si="3"/>
        <v/>
      </c>
      <c r="G466" s="93"/>
      <c r="H466" s="133"/>
      <c r="J466" s="20"/>
      <c r="K466" s="94"/>
      <c r="L466" s="20"/>
      <c r="N466" s="20"/>
      <c r="O466" s="20"/>
      <c r="P466" s="20"/>
    </row>
    <row r="467">
      <c r="A467" s="28"/>
      <c r="B467" s="93"/>
      <c r="C467" s="114" t="str">
        <f t="array" ref="C467">ifs(and(isblank($A467),isblank($B467)),"", not(iserror(vlookup($A467&amp;$B467,'3) Release_Label'!$D:$D&amp;'3) Release_Label'!$E:$E,1,0))),vlookup($A467&amp;$B467,{'3) Release_Label'!$D:$D&amp;'3) Release_Label'!$E:$E,'3) Release_Label'!$F:$F},2,0),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D467" s="114" t="str">
        <f t="array" ref="D467">ifs(and(isblank($A467),isblank($B467)),"", not(iserror(vlookup($A467&amp;$B467,'3) Release_Label'!$D:$D&amp;'3) Release_Label'!$E:$E,1,0))),vlookup($A467&amp;$B467,{'3) Release_Label'!$D:$D&amp;'3) Release_Label'!$E:$E,'3) Release_Label'!$H:$H},2,0),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E467" s="128" t="str">
        <f t="shared" si="3"/>
        <v/>
      </c>
      <c r="G467" s="93"/>
      <c r="H467" s="133"/>
      <c r="J467" s="20"/>
      <c r="K467" s="94"/>
      <c r="L467" s="20"/>
      <c r="N467" s="20"/>
      <c r="O467" s="20"/>
      <c r="P467" s="20"/>
    </row>
    <row r="468">
      <c r="A468" s="28"/>
      <c r="B468" s="93"/>
      <c r="C468" s="114" t="str">
        <f t="array" ref="C468">ifs(and(isblank($A468),isblank($B468)),"", not(iserror(vlookup($A468&amp;$B468,'3) Release_Label'!$D:$D&amp;'3) Release_Label'!$E:$E,1,0))),vlookup($A468&amp;$B468,{'3) Release_Label'!$D:$D&amp;'3) Release_Label'!$E:$E,'3) Release_Label'!$F:$F},2,0),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D468" s="114" t="str">
        <f t="array" ref="D468">ifs(and(isblank($A468),isblank($B468)),"", not(iserror(vlookup($A468&amp;$B468,'3) Release_Label'!$D:$D&amp;'3) Release_Label'!$E:$E,1,0))),vlookup($A468&amp;$B468,{'3) Release_Label'!$D:$D&amp;'3) Release_Label'!$E:$E,'3) Release_Label'!$H:$H},2,0),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E468" s="128" t="str">
        <f t="shared" si="3"/>
        <v/>
      </c>
      <c r="G468" s="93"/>
      <c r="H468" s="133"/>
      <c r="J468" s="20"/>
      <c r="K468" s="94"/>
      <c r="L468" s="20"/>
      <c r="N468" s="20"/>
      <c r="O468" s="20"/>
      <c r="P468" s="20"/>
    </row>
    <row r="469">
      <c r="A469" s="28"/>
      <c r="B469" s="93"/>
      <c r="C469" s="114" t="str">
        <f t="array" ref="C469">ifs(and(isblank($A469),isblank($B469)),"", not(iserror(vlookup($A469&amp;$B469,'3) Release_Label'!$D:$D&amp;'3) Release_Label'!$E:$E,1,0))),vlookup($A469&amp;$B469,{'3) Release_Label'!$D:$D&amp;'3) Release_Label'!$E:$E,'3) Release_Label'!$F:$F},2,0),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D469" s="114" t="str">
        <f t="array" ref="D469">ifs(and(isblank($A469),isblank($B469)),"", not(iserror(vlookup($A469&amp;$B469,'3) Release_Label'!$D:$D&amp;'3) Release_Label'!$E:$E,1,0))),vlookup($A469&amp;$B469,{'3) Release_Label'!$D:$D&amp;'3) Release_Label'!$E:$E,'3) Release_Label'!$H:$H},2,0),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E469" s="128" t="str">
        <f t="shared" si="3"/>
        <v/>
      </c>
      <c r="G469" s="93"/>
      <c r="H469" s="133"/>
      <c r="J469" s="20"/>
      <c r="K469" s="94"/>
      <c r="L469" s="20"/>
      <c r="N469" s="20"/>
      <c r="O469" s="20"/>
      <c r="P469" s="20"/>
    </row>
    <row r="470">
      <c r="A470" s="28"/>
      <c r="B470" s="93"/>
      <c r="C470" s="114" t="str">
        <f t="array" ref="C470">ifs(and(isblank($A470),isblank($B470)),"", not(iserror(vlookup($A470&amp;$B470,'3) Release_Label'!$D:$D&amp;'3) Release_Label'!$E:$E,1,0))),vlookup($A470&amp;$B470,{'3) Release_Label'!$D:$D&amp;'3) Release_Label'!$E:$E,'3) Release_Label'!$F:$F},2,0),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D470" s="114" t="str">
        <f t="array" ref="D470">ifs(and(isblank($A470),isblank($B470)),"", not(iserror(vlookup($A470&amp;$B470,'3) Release_Label'!$D:$D&amp;'3) Release_Label'!$E:$E,1,0))),vlookup($A470&amp;$B470,{'3) Release_Label'!$D:$D&amp;'3) Release_Label'!$E:$E,'3) Release_Label'!$H:$H},2,0),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E470" s="128" t="str">
        <f t="shared" si="3"/>
        <v/>
      </c>
      <c r="G470" s="93"/>
      <c r="H470" s="133"/>
      <c r="J470" s="20"/>
      <c r="K470" s="94"/>
      <c r="L470" s="20"/>
      <c r="N470" s="20"/>
      <c r="O470" s="20"/>
      <c r="P470" s="20"/>
    </row>
    <row r="471">
      <c r="A471" s="28"/>
      <c r="B471" s="93"/>
      <c r="C471" s="114" t="str">
        <f t="array" ref="C471">ifs(and(isblank($A471),isblank($B471)),"", not(iserror(vlookup($A471&amp;$B471,'3) Release_Label'!$D:$D&amp;'3) Release_Label'!$E:$E,1,0))),vlookup($A471&amp;$B471,{'3) Release_Label'!$D:$D&amp;'3) Release_Label'!$E:$E,'3) Release_Label'!$F:$F},2,0),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D471" s="114" t="str">
        <f t="array" ref="D471">ifs(and(isblank($A471),isblank($B471)),"", not(iserror(vlookup($A471&amp;$B471,'3) Release_Label'!$D:$D&amp;'3) Release_Label'!$E:$E,1,0))),vlookup($A471&amp;$B471,{'3) Release_Label'!$D:$D&amp;'3) Release_Label'!$E:$E,'3) Release_Label'!$H:$H},2,0),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E471" s="128" t="str">
        <f t="shared" si="3"/>
        <v/>
      </c>
      <c r="G471" s="93"/>
      <c r="H471" s="133"/>
      <c r="J471" s="20"/>
      <c r="K471" s="94"/>
      <c r="L471" s="20"/>
      <c r="N471" s="20"/>
      <c r="O471" s="20"/>
      <c r="P471" s="20"/>
    </row>
    <row r="472">
      <c r="A472" s="28"/>
      <c r="B472" s="93"/>
      <c r="C472" s="114" t="str">
        <f t="array" ref="C472">ifs(and(isblank($A472),isblank($B472)),"", not(iserror(vlookup($A472&amp;$B472,'3) Release_Label'!$D:$D&amp;'3) Release_Label'!$E:$E,1,0))),vlookup($A472&amp;$B472,{'3) Release_Label'!$D:$D&amp;'3) Release_Label'!$E:$E,'3) Release_Label'!$F:$F},2,0),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D472" s="114" t="str">
        <f t="array" ref="D472">ifs(and(isblank($A472),isblank($B472)),"", not(iserror(vlookup($A472&amp;$B472,'3) Release_Label'!$D:$D&amp;'3) Release_Label'!$E:$E,1,0))),vlookup($A472&amp;$B472,{'3) Release_Label'!$D:$D&amp;'3) Release_Label'!$E:$E,'3) Release_Label'!$H:$H},2,0),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E472" s="128" t="str">
        <f t="shared" si="3"/>
        <v/>
      </c>
      <c r="G472" s="93"/>
      <c r="H472" s="133"/>
      <c r="J472" s="20"/>
      <c r="K472" s="94"/>
      <c r="L472" s="20"/>
      <c r="N472" s="20"/>
      <c r="O472" s="20"/>
      <c r="P472" s="20"/>
    </row>
    <row r="473">
      <c r="A473" s="28"/>
      <c r="B473" s="93"/>
      <c r="C473" s="114" t="str">
        <f t="array" ref="C473">ifs(and(isblank($A473),isblank($B473)),"", not(iserror(vlookup($A473&amp;$B473,'3) Release_Label'!$D:$D&amp;'3) Release_Label'!$E:$E,1,0))),vlookup($A473&amp;$B473,{'3) Release_Label'!$D:$D&amp;'3) Release_Label'!$E:$E,'3) Release_Label'!$F:$F},2,0),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D473" s="114" t="str">
        <f t="array" ref="D473">ifs(and(isblank($A473),isblank($B473)),"", not(iserror(vlookup($A473&amp;$B473,'3) Release_Label'!$D:$D&amp;'3) Release_Label'!$E:$E,1,0))),vlookup($A473&amp;$B473,{'3) Release_Label'!$D:$D&amp;'3) Release_Label'!$E:$E,'3) Release_Label'!$H:$H},2,0),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E473" s="128" t="str">
        <f t="shared" si="3"/>
        <v/>
      </c>
      <c r="G473" s="93"/>
      <c r="H473" s="133"/>
      <c r="J473" s="20"/>
      <c r="K473" s="94"/>
      <c r="L473" s="20"/>
      <c r="N473" s="20"/>
      <c r="O473" s="20"/>
      <c r="P473" s="20"/>
    </row>
    <row r="474">
      <c r="A474" s="28"/>
      <c r="B474" s="93"/>
      <c r="C474" s="114" t="str">
        <f t="array" ref="C474">ifs(and(isblank($A474),isblank($B474)),"", not(iserror(vlookup($A474&amp;$B474,'3) Release_Label'!$D:$D&amp;'3) Release_Label'!$E:$E,1,0))),vlookup($A474&amp;$B474,{'3) Release_Label'!$D:$D&amp;'3) Release_Label'!$E:$E,'3) Release_Label'!$F:$F},2,0),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D474" s="114" t="str">
        <f t="array" ref="D474">ifs(and(isblank($A474),isblank($B474)),"", not(iserror(vlookup($A474&amp;$B474,'3) Release_Label'!$D:$D&amp;'3) Release_Label'!$E:$E,1,0))),vlookup($A474&amp;$B474,{'3) Release_Label'!$D:$D&amp;'3) Release_Label'!$E:$E,'3) Release_Label'!$H:$H},2,0),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E474" s="128" t="str">
        <f t="shared" si="3"/>
        <v/>
      </c>
      <c r="G474" s="93"/>
      <c r="H474" s="133"/>
      <c r="J474" s="20"/>
      <c r="K474" s="94"/>
      <c r="L474" s="20"/>
      <c r="N474" s="20"/>
      <c r="O474" s="20"/>
      <c r="P474" s="20"/>
    </row>
    <row r="475">
      <c r="A475" s="28"/>
      <c r="B475" s="93"/>
      <c r="C475" s="114" t="str">
        <f t="array" ref="C475">ifs(and(isblank($A475),isblank($B475)),"", not(iserror(vlookup($A475&amp;$B475,'3) Release_Label'!$D:$D&amp;'3) Release_Label'!$E:$E,1,0))),vlookup($A475&amp;$B475,{'3) Release_Label'!$D:$D&amp;'3) Release_Label'!$E:$E,'3) Release_Label'!$F:$F},2,0),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D475" s="114" t="str">
        <f t="array" ref="D475">ifs(and(isblank($A475),isblank($B475)),"", not(iserror(vlookup($A475&amp;$B475,'3) Release_Label'!$D:$D&amp;'3) Release_Label'!$E:$E,1,0))),vlookup($A475&amp;$B475,{'3) Release_Label'!$D:$D&amp;'3) Release_Label'!$E:$E,'3) Release_Label'!$H:$H},2,0),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E475" s="128" t="str">
        <f t="shared" si="3"/>
        <v/>
      </c>
      <c r="G475" s="93"/>
      <c r="H475" s="133"/>
      <c r="J475" s="20"/>
      <c r="K475" s="94"/>
      <c r="L475" s="20"/>
      <c r="N475" s="20"/>
      <c r="O475" s="20"/>
      <c r="P475" s="20"/>
    </row>
    <row r="476">
      <c r="A476" s="28"/>
      <c r="B476" s="93"/>
      <c r="C476" s="114" t="str">
        <f t="array" ref="C476">ifs(and(isblank($A476),isblank($B476)),"", not(iserror(vlookup($A476&amp;$B476,'3) Release_Label'!$D:$D&amp;'3) Release_Label'!$E:$E,1,0))),vlookup($A476&amp;$B476,{'3) Release_Label'!$D:$D&amp;'3) Release_Label'!$E:$E,'3) Release_Label'!$F:$F},2,0),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D476" s="114" t="str">
        <f t="array" ref="D476">ifs(and(isblank($A476),isblank($B476)),"", not(iserror(vlookup($A476&amp;$B476,'3) Release_Label'!$D:$D&amp;'3) Release_Label'!$E:$E,1,0))),vlookup($A476&amp;$B476,{'3) Release_Label'!$D:$D&amp;'3) Release_Label'!$E:$E,'3) Release_Label'!$H:$H},2,0),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E476" s="128" t="str">
        <f t="shared" si="3"/>
        <v/>
      </c>
      <c r="G476" s="93"/>
      <c r="H476" s="133"/>
      <c r="J476" s="20"/>
      <c r="K476" s="94"/>
      <c r="L476" s="20"/>
      <c r="N476" s="20"/>
      <c r="O476" s="20"/>
      <c r="P476" s="20"/>
    </row>
    <row r="477">
      <c r="A477" s="28"/>
      <c r="B477" s="93"/>
      <c r="C477" s="114" t="str">
        <f t="array" ref="C477">ifs(and(isblank($A477),isblank($B477)),"", not(iserror(vlookup($A477&amp;$B477,'3) Release_Label'!$D:$D&amp;'3) Release_Label'!$E:$E,1,0))),vlookup($A477&amp;$B477,{'3) Release_Label'!$D:$D&amp;'3) Release_Label'!$E:$E,'3) Release_Label'!$F:$F},2,0),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D477" s="114" t="str">
        <f t="array" ref="D477">ifs(and(isblank($A477),isblank($B477)),"", not(iserror(vlookup($A477&amp;$B477,'3) Release_Label'!$D:$D&amp;'3) Release_Label'!$E:$E,1,0))),vlookup($A477&amp;$B477,{'3) Release_Label'!$D:$D&amp;'3) Release_Label'!$E:$E,'3) Release_Label'!$H:$H},2,0),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E477" s="128" t="str">
        <f t="shared" si="3"/>
        <v/>
      </c>
      <c r="G477" s="93"/>
      <c r="H477" s="133"/>
      <c r="J477" s="20"/>
      <c r="K477" s="94"/>
      <c r="L477" s="20"/>
      <c r="N477" s="20"/>
      <c r="O477" s="20"/>
      <c r="P477" s="20"/>
    </row>
    <row r="478">
      <c r="A478" s="28"/>
      <c r="B478" s="93"/>
      <c r="C478" s="114" t="str">
        <f t="array" ref="C478">ifs(and(isblank($A478),isblank($B478)),"", not(iserror(vlookup($A478&amp;$B478,'3) Release_Label'!$D:$D&amp;'3) Release_Label'!$E:$E,1,0))),vlookup($A478&amp;$B478,{'3) Release_Label'!$D:$D&amp;'3) Release_Label'!$E:$E,'3) Release_Label'!$F:$F},2,0),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D478" s="114" t="str">
        <f t="array" ref="D478">ifs(and(isblank($A478),isblank($B478)),"", not(iserror(vlookup($A478&amp;$B478,'3) Release_Label'!$D:$D&amp;'3) Release_Label'!$E:$E,1,0))),vlookup($A478&amp;$B478,{'3) Release_Label'!$D:$D&amp;'3) Release_Label'!$E:$E,'3) Release_Label'!$H:$H},2,0),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E478" s="128" t="str">
        <f t="shared" si="3"/>
        <v/>
      </c>
      <c r="G478" s="93"/>
      <c r="H478" s="133"/>
      <c r="J478" s="20"/>
      <c r="K478" s="94"/>
      <c r="L478" s="20"/>
      <c r="N478" s="20"/>
      <c r="O478" s="20"/>
      <c r="P478" s="20"/>
    </row>
    <row r="479">
      <c r="A479" s="28"/>
      <c r="B479" s="93"/>
      <c r="C479" s="114" t="str">
        <f t="array" ref="C479">ifs(and(isblank($A479),isblank($B479)),"", not(iserror(vlookup($A479&amp;$B479,'3) Release_Label'!$D:$D&amp;'3) Release_Label'!$E:$E,1,0))),vlookup($A479&amp;$B479,{'3) Release_Label'!$D:$D&amp;'3) Release_Label'!$E:$E,'3) Release_Label'!$F:$F},2,0),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D479" s="114" t="str">
        <f t="array" ref="D479">ifs(and(isblank($A479),isblank($B479)),"", not(iserror(vlookup($A479&amp;$B479,'3) Release_Label'!$D:$D&amp;'3) Release_Label'!$E:$E,1,0))),vlookup($A479&amp;$B479,{'3) Release_Label'!$D:$D&amp;'3) Release_Label'!$E:$E,'3) Release_Label'!$H:$H},2,0),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E479" s="128" t="str">
        <f t="shared" si="3"/>
        <v/>
      </c>
      <c r="G479" s="93"/>
      <c r="H479" s="133"/>
      <c r="J479" s="20"/>
      <c r="K479" s="94"/>
      <c r="L479" s="20"/>
      <c r="N479" s="20"/>
      <c r="O479" s="20"/>
      <c r="P479" s="20"/>
    </row>
    <row r="480">
      <c r="A480" s="28"/>
      <c r="B480" s="93"/>
      <c r="C480" s="114" t="str">
        <f t="array" ref="C480">ifs(and(isblank($A480),isblank($B480)),"", not(iserror(vlookup($A480&amp;$B480,'3) Release_Label'!$D:$D&amp;'3) Release_Label'!$E:$E,1,0))),vlookup($A480&amp;$B480,{'3) Release_Label'!$D:$D&amp;'3) Release_Label'!$E:$E,'3) Release_Label'!$F:$F},2,0),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D480" s="114" t="str">
        <f t="array" ref="D480">ifs(and(isblank($A480),isblank($B480)),"", not(iserror(vlookup($A480&amp;$B480,'3) Release_Label'!$D:$D&amp;'3) Release_Label'!$E:$E,1,0))),vlookup($A480&amp;$B480,{'3) Release_Label'!$D:$D&amp;'3) Release_Label'!$E:$E,'3) Release_Label'!$H:$H},2,0),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E480" s="128" t="str">
        <f t="shared" si="3"/>
        <v/>
      </c>
      <c r="G480" s="93"/>
      <c r="H480" s="133"/>
      <c r="J480" s="20"/>
      <c r="K480" s="94"/>
      <c r="L480" s="20"/>
      <c r="N480" s="20"/>
      <c r="O480" s="20"/>
      <c r="P480" s="20"/>
    </row>
    <row r="481">
      <c r="A481" s="28"/>
      <c r="B481" s="93"/>
      <c r="C481" s="114" t="str">
        <f t="array" ref="C481">ifs(and(isblank($A481),isblank($B481)),"", not(iserror(vlookup($A481&amp;$B481,'3) Release_Label'!$D:$D&amp;'3) Release_Label'!$E:$E,1,0))),vlookup($A481&amp;$B481,{'3) Release_Label'!$D:$D&amp;'3) Release_Label'!$E:$E,'3) Release_Label'!$F:$F},2,0),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D481" s="114" t="str">
        <f t="array" ref="D481">ifs(and(isblank($A481),isblank($B481)),"", not(iserror(vlookup($A481&amp;$B481,'3) Release_Label'!$D:$D&amp;'3) Release_Label'!$E:$E,1,0))),vlookup($A481&amp;$B481,{'3) Release_Label'!$D:$D&amp;'3) Release_Label'!$E:$E,'3) Release_Label'!$H:$H},2,0),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E481" s="128" t="str">
        <f t="shared" si="3"/>
        <v/>
      </c>
      <c r="G481" s="93"/>
      <c r="H481" s="133"/>
      <c r="J481" s="20"/>
      <c r="K481" s="94"/>
      <c r="L481" s="20"/>
      <c r="N481" s="20"/>
      <c r="O481" s="20"/>
      <c r="P481" s="20"/>
    </row>
    <row r="482">
      <c r="A482" s="28"/>
      <c r="B482" s="93"/>
      <c r="C482" s="114" t="str">
        <f t="array" ref="C482">ifs(and(isblank($A482),isblank($B482)),"", not(iserror(vlookup($A482&amp;$B482,'3) Release_Label'!$D:$D&amp;'3) Release_Label'!$E:$E,1,0))),vlookup($A482&amp;$B482,{'3) Release_Label'!$D:$D&amp;'3) Release_Label'!$E:$E,'3) Release_Label'!$F:$F},2,0),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D482" s="114" t="str">
        <f t="array" ref="D482">ifs(and(isblank($A482),isblank($B482)),"", not(iserror(vlookup($A482&amp;$B482,'3) Release_Label'!$D:$D&amp;'3) Release_Label'!$E:$E,1,0))),vlookup($A482&amp;$B482,{'3) Release_Label'!$D:$D&amp;'3) Release_Label'!$E:$E,'3) Release_Label'!$H:$H},2,0),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E482" s="128" t="str">
        <f t="shared" si="3"/>
        <v/>
      </c>
      <c r="G482" s="93"/>
      <c r="H482" s="133"/>
      <c r="J482" s="20"/>
      <c r="K482" s="94"/>
      <c r="L482" s="20"/>
      <c r="N482" s="20"/>
      <c r="O482" s="20"/>
      <c r="P482" s="20"/>
    </row>
    <row r="483">
      <c r="A483" s="28"/>
      <c r="B483" s="93"/>
      <c r="C483" s="114" t="str">
        <f t="array" ref="C483">ifs(and(isblank($A483),isblank($B483)),"", not(iserror(vlookup($A483&amp;$B483,'3) Release_Label'!$D:$D&amp;'3) Release_Label'!$E:$E,1,0))),vlookup($A483&amp;$B483,{'3) Release_Label'!$D:$D&amp;'3) Release_Label'!$E:$E,'3) Release_Label'!$F:$F},2,0),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D483" s="114" t="str">
        <f t="array" ref="D483">ifs(and(isblank($A483),isblank($B483)),"", not(iserror(vlookup($A483&amp;$B483,'3) Release_Label'!$D:$D&amp;'3) Release_Label'!$E:$E,1,0))),vlookup($A483&amp;$B483,{'3) Release_Label'!$D:$D&amp;'3) Release_Label'!$E:$E,'3) Release_Label'!$H:$H},2,0),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E483" s="128" t="str">
        <f t="shared" si="3"/>
        <v/>
      </c>
      <c r="G483" s="93"/>
      <c r="H483" s="133"/>
      <c r="J483" s="20"/>
      <c r="K483" s="94"/>
      <c r="L483" s="20"/>
      <c r="N483" s="20"/>
      <c r="O483" s="20"/>
      <c r="P483" s="20"/>
    </row>
    <row r="484">
      <c r="A484" s="28"/>
      <c r="B484" s="93"/>
      <c r="C484" s="114" t="str">
        <f t="array" ref="C484">ifs(and(isblank($A484),isblank($B484)),"", not(iserror(vlookup($A484&amp;$B484,'3) Release_Label'!$D:$D&amp;'3) Release_Label'!$E:$E,1,0))),vlookup($A484&amp;$B484,{'3) Release_Label'!$D:$D&amp;'3) Release_Label'!$E:$E,'3) Release_Label'!$F:$F},2,0),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D484" s="114" t="str">
        <f t="array" ref="D484">ifs(and(isblank($A484),isblank($B484)),"", not(iserror(vlookup($A484&amp;$B484,'3) Release_Label'!$D:$D&amp;'3) Release_Label'!$E:$E,1,0))),vlookup($A484&amp;$B484,{'3) Release_Label'!$D:$D&amp;'3) Release_Label'!$E:$E,'3) Release_Label'!$H:$H},2,0),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E484" s="128" t="str">
        <f t="shared" si="3"/>
        <v/>
      </c>
      <c r="G484" s="93"/>
      <c r="H484" s="133"/>
      <c r="J484" s="20"/>
      <c r="K484" s="94"/>
      <c r="L484" s="20"/>
      <c r="N484" s="20"/>
      <c r="O484" s="20"/>
      <c r="P484" s="20"/>
    </row>
    <row r="485">
      <c r="A485" s="28"/>
      <c r="B485" s="93"/>
      <c r="C485" s="114" t="str">
        <f t="array" ref="C485">ifs(and(isblank($A485),isblank($B485)),"", not(iserror(vlookup($A485&amp;$B485,'3) Release_Label'!$D:$D&amp;'3) Release_Label'!$E:$E,1,0))),vlookup($A485&amp;$B485,{'3) Release_Label'!$D:$D&amp;'3) Release_Label'!$E:$E,'3) Release_Label'!$F:$F},2,0),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D485" s="114" t="str">
        <f t="array" ref="D485">ifs(and(isblank($A485),isblank($B485)),"", not(iserror(vlookup($A485&amp;$B485,'3) Release_Label'!$D:$D&amp;'3) Release_Label'!$E:$E,1,0))),vlookup($A485&amp;$B485,{'3) Release_Label'!$D:$D&amp;'3) Release_Label'!$E:$E,'3) Release_Label'!$H:$H},2,0),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E485" s="128" t="str">
        <f t="shared" si="3"/>
        <v/>
      </c>
      <c r="G485" s="93"/>
      <c r="H485" s="133"/>
      <c r="J485" s="20"/>
      <c r="K485" s="94"/>
      <c r="L485" s="20"/>
      <c r="N485" s="20"/>
      <c r="O485" s="20"/>
      <c r="P485" s="20"/>
    </row>
    <row r="486">
      <c r="A486" s="28"/>
      <c r="B486" s="93"/>
      <c r="C486" s="114" t="str">
        <f t="array" ref="C486">ifs(and(isblank($A486),isblank($B486)),"", not(iserror(vlookup($A486&amp;$B486,'3) Release_Label'!$D:$D&amp;'3) Release_Label'!$E:$E,1,0))),vlookup($A486&amp;$B486,{'3) Release_Label'!$D:$D&amp;'3) Release_Label'!$E:$E,'3) Release_Label'!$F:$F},2,0),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D486" s="114" t="str">
        <f t="array" ref="D486">ifs(and(isblank($A486),isblank($B486)),"", not(iserror(vlookup($A486&amp;$B486,'3) Release_Label'!$D:$D&amp;'3) Release_Label'!$E:$E,1,0))),vlookup($A486&amp;$B486,{'3) Release_Label'!$D:$D&amp;'3) Release_Label'!$E:$E,'3) Release_Label'!$H:$H},2,0),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E486" s="128" t="str">
        <f t="shared" si="3"/>
        <v/>
      </c>
      <c r="G486" s="93"/>
      <c r="H486" s="133"/>
      <c r="J486" s="20"/>
      <c r="K486" s="94"/>
      <c r="L486" s="20"/>
      <c r="N486" s="20"/>
      <c r="O486" s="20"/>
      <c r="P486" s="20"/>
    </row>
    <row r="487">
      <c r="A487" s="28"/>
      <c r="B487" s="93"/>
      <c r="C487" s="114" t="str">
        <f t="array" ref="C487">ifs(and(isblank($A487),isblank($B487)),"", not(iserror(vlookup($A487&amp;$B487,'3) Release_Label'!$D:$D&amp;'3) Release_Label'!$E:$E,1,0))),vlookup($A487&amp;$B487,{'3) Release_Label'!$D:$D&amp;'3) Release_Label'!$E:$E,'3) Release_Label'!$F:$F},2,0),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D487" s="114" t="str">
        <f t="array" ref="D487">ifs(and(isblank($A487),isblank($B487)),"", not(iserror(vlookup($A487&amp;$B487,'3) Release_Label'!$D:$D&amp;'3) Release_Label'!$E:$E,1,0))),vlookup($A487&amp;$B487,{'3) Release_Label'!$D:$D&amp;'3) Release_Label'!$E:$E,'3) Release_Label'!$H:$H},2,0),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E487" s="128" t="str">
        <f t="shared" si="3"/>
        <v/>
      </c>
      <c r="G487" s="93"/>
      <c r="H487" s="133"/>
      <c r="J487" s="20"/>
      <c r="K487" s="94"/>
      <c r="L487" s="20"/>
      <c r="N487" s="20"/>
      <c r="O487" s="20"/>
      <c r="P487" s="20"/>
    </row>
    <row r="488">
      <c r="A488" s="28"/>
      <c r="B488" s="93"/>
      <c r="C488" s="114" t="str">
        <f t="array" ref="C488">ifs(and(isblank($A488),isblank($B488)),"", not(iserror(vlookup($A488&amp;$B488,'3) Release_Label'!$D:$D&amp;'3) Release_Label'!$E:$E,1,0))),vlookup($A488&amp;$B488,{'3) Release_Label'!$D:$D&amp;'3) Release_Label'!$E:$E,'3) Release_Label'!$F:$F},2,0),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D488" s="114" t="str">
        <f t="array" ref="D488">ifs(and(isblank($A488),isblank($B488)),"", not(iserror(vlookup($A488&amp;$B488,'3) Release_Label'!$D:$D&amp;'3) Release_Label'!$E:$E,1,0))),vlookup($A488&amp;$B488,{'3) Release_Label'!$D:$D&amp;'3) Release_Label'!$E:$E,'3) Release_Label'!$H:$H},2,0),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E488" s="128" t="str">
        <f t="shared" si="3"/>
        <v/>
      </c>
      <c r="G488" s="93"/>
      <c r="H488" s="133"/>
      <c r="J488" s="20"/>
      <c r="K488" s="94"/>
      <c r="L488" s="20"/>
      <c r="N488" s="20"/>
      <c r="O488" s="20"/>
      <c r="P488" s="20"/>
    </row>
    <row r="489">
      <c r="A489" s="28"/>
      <c r="B489" s="93"/>
      <c r="C489" s="114" t="str">
        <f t="array" ref="C489">ifs(and(isblank($A489),isblank($B489)),"", not(iserror(vlookup($A489&amp;$B489,'3) Release_Label'!$D:$D&amp;'3) Release_Label'!$E:$E,1,0))),vlookup($A489&amp;$B489,{'3) Release_Label'!$D:$D&amp;'3) Release_Label'!$E:$E,'3) Release_Label'!$F:$F},2,0),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D489" s="114" t="str">
        <f t="array" ref="D489">ifs(and(isblank($A489),isblank($B489)),"", not(iserror(vlookup($A489&amp;$B489,'3) Release_Label'!$D:$D&amp;'3) Release_Label'!$E:$E,1,0))),vlookup($A489&amp;$B489,{'3) Release_Label'!$D:$D&amp;'3) Release_Label'!$E:$E,'3) Release_Label'!$H:$H},2,0),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E489" s="128" t="str">
        <f t="shared" si="3"/>
        <v/>
      </c>
      <c r="G489" s="93"/>
      <c r="H489" s="133"/>
      <c r="J489" s="20"/>
      <c r="K489" s="94"/>
      <c r="L489" s="20"/>
      <c r="N489" s="20"/>
      <c r="O489" s="20"/>
      <c r="P489" s="20"/>
    </row>
    <row r="490">
      <c r="A490" s="28"/>
      <c r="B490" s="93"/>
      <c r="C490" s="114" t="str">
        <f t="array" ref="C490">ifs(and(isblank($A490),isblank($B490)),"", not(iserror(vlookup($A490&amp;$B490,'3) Release_Label'!$D:$D&amp;'3) Release_Label'!$E:$E,1,0))),vlookup($A490&amp;$B490,{'3) Release_Label'!$D:$D&amp;'3) Release_Label'!$E:$E,'3) Release_Label'!$F:$F},2,0),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D490" s="114" t="str">
        <f t="array" ref="D490">ifs(and(isblank($A490),isblank($B490)),"", not(iserror(vlookup($A490&amp;$B490,'3) Release_Label'!$D:$D&amp;'3) Release_Label'!$E:$E,1,0))),vlookup($A490&amp;$B490,{'3) Release_Label'!$D:$D&amp;'3) Release_Label'!$E:$E,'3) Release_Label'!$H:$H},2,0),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E490" s="128" t="str">
        <f t="shared" si="3"/>
        <v/>
      </c>
      <c r="G490" s="93"/>
      <c r="H490" s="133"/>
      <c r="J490" s="20"/>
      <c r="K490" s="94"/>
      <c r="L490" s="20"/>
      <c r="N490" s="20"/>
      <c r="O490" s="20"/>
      <c r="P490" s="20"/>
    </row>
    <row r="491">
      <c r="A491" s="28"/>
      <c r="B491" s="93"/>
      <c r="C491" s="114" t="str">
        <f t="array" ref="C491">ifs(and(isblank($A491),isblank($B491)),"", not(iserror(vlookup($A491&amp;$B491,'3) Release_Label'!$D:$D&amp;'3) Release_Label'!$E:$E,1,0))),vlookup($A491&amp;$B491,{'3) Release_Label'!$D:$D&amp;'3) Release_Label'!$E:$E,'3) Release_Label'!$F:$F},2,0),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D491" s="114" t="str">
        <f t="array" ref="D491">ifs(and(isblank($A491),isblank($B491)),"", not(iserror(vlookup($A491&amp;$B491,'3) Release_Label'!$D:$D&amp;'3) Release_Label'!$E:$E,1,0))),vlookup($A491&amp;$B491,{'3) Release_Label'!$D:$D&amp;'3) Release_Label'!$E:$E,'3) Release_Label'!$H:$H},2,0),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E491" s="128" t="str">
        <f t="shared" si="3"/>
        <v/>
      </c>
      <c r="G491" s="93"/>
      <c r="H491" s="133"/>
      <c r="J491" s="20"/>
      <c r="K491" s="94"/>
      <c r="L491" s="20"/>
      <c r="N491" s="20"/>
      <c r="O491" s="20"/>
      <c r="P491" s="20"/>
    </row>
    <row r="492">
      <c r="A492" s="28"/>
      <c r="B492" s="93"/>
      <c r="C492" s="114" t="str">
        <f t="array" ref="C492">ifs(and(isblank($A492),isblank($B492)),"", not(iserror(vlookup($A492&amp;$B492,'3) Release_Label'!$D:$D&amp;'3) Release_Label'!$E:$E,1,0))),vlookup($A492&amp;$B492,{'3) Release_Label'!$D:$D&amp;'3) Release_Label'!$E:$E,'3) Release_Label'!$F:$F},2,0),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D492" s="114" t="str">
        <f t="array" ref="D492">ifs(and(isblank($A492),isblank($B492)),"", not(iserror(vlookup($A492&amp;$B492,'3) Release_Label'!$D:$D&amp;'3) Release_Label'!$E:$E,1,0))),vlookup($A492&amp;$B492,{'3) Release_Label'!$D:$D&amp;'3) Release_Label'!$E:$E,'3) Release_Label'!$H:$H},2,0),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E492" s="128" t="str">
        <f t="shared" si="3"/>
        <v/>
      </c>
      <c r="G492" s="93"/>
      <c r="H492" s="133"/>
      <c r="J492" s="20"/>
      <c r="K492" s="94"/>
      <c r="L492" s="20"/>
      <c r="N492" s="20"/>
      <c r="O492" s="20"/>
      <c r="P492" s="20"/>
    </row>
    <row r="493">
      <c r="A493" s="28"/>
      <c r="B493" s="93"/>
      <c r="C493" s="114" t="str">
        <f t="array" ref="C493">ifs(and(isblank($A493),isblank($B493)),"", not(iserror(vlookup($A493&amp;$B493,'3) Release_Label'!$D:$D&amp;'3) Release_Label'!$E:$E,1,0))),vlookup($A493&amp;$B493,{'3) Release_Label'!$D:$D&amp;'3) Release_Label'!$E:$E,'3) Release_Label'!$F:$F},2,0),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D493" s="114" t="str">
        <f t="array" ref="D493">ifs(and(isblank($A493),isblank($B493)),"", not(iserror(vlookup($A493&amp;$B493,'3) Release_Label'!$D:$D&amp;'3) Release_Label'!$E:$E,1,0))),vlookup($A493&amp;$B493,{'3) Release_Label'!$D:$D&amp;'3) Release_Label'!$E:$E,'3) Release_Label'!$H:$H},2,0),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E493" s="128" t="str">
        <f t="shared" si="3"/>
        <v/>
      </c>
      <c r="G493" s="93"/>
      <c r="H493" s="133"/>
      <c r="J493" s="20"/>
      <c r="K493" s="94"/>
      <c r="L493" s="20"/>
      <c r="N493" s="20"/>
      <c r="O493" s="20"/>
      <c r="P493" s="20"/>
    </row>
    <row r="494">
      <c r="A494" s="28"/>
      <c r="B494" s="93"/>
      <c r="C494" s="114" t="str">
        <f t="array" ref="C494">ifs(and(isblank($A494),isblank($B494)),"", not(iserror(vlookup($A494&amp;$B494,'3) Release_Label'!$D:$D&amp;'3) Release_Label'!$E:$E,1,0))),vlookup($A494&amp;$B494,{'3) Release_Label'!$D:$D&amp;'3) Release_Label'!$E:$E,'3) Release_Label'!$F:$F},2,0),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D494" s="114" t="str">
        <f t="array" ref="D494">ifs(and(isblank($A494),isblank($B494)),"", not(iserror(vlookup($A494&amp;$B494,'3) Release_Label'!$D:$D&amp;'3) Release_Label'!$E:$E,1,0))),vlookup($A494&amp;$B494,{'3) Release_Label'!$D:$D&amp;'3) Release_Label'!$E:$E,'3) Release_Label'!$H:$H},2,0),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E494" s="128" t="str">
        <f t="shared" si="3"/>
        <v/>
      </c>
      <c r="G494" s="93"/>
      <c r="H494" s="133"/>
      <c r="J494" s="20"/>
      <c r="K494" s="94"/>
      <c r="L494" s="20"/>
      <c r="N494" s="20"/>
      <c r="O494" s="20"/>
      <c r="P494" s="20"/>
    </row>
    <row r="495">
      <c r="A495" s="28"/>
      <c r="B495" s="93"/>
      <c r="C495" s="114" t="str">
        <f t="array" ref="C495">ifs(and(isblank($A495),isblank($B495)),"", not(iserror(vlookup($A495&amp;$B495,'3) Release_Label'!$D:$D&amp;'3) Release_Label'!$E:$E,1,0))),vlookup($A495&amp;$B495,{'3) Release_Label'!$D:$D&amp;'3) Release_Label'!$E:$E,'3) Release_Label'!$F:$F},2,0),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D495" s="114" t="str">
        <f t="array" ref="D495">ifs(and(isblank($A495),isblank($B495)),"", not(iserror(vlookup($A495&amp;$B495,'3) Release_Label'!$D:$D&amp;'3) Release_Label'!$E:$E,1,0))),vlookup($A495&amp;$B495,{'3) Release_Label'!$D:$D&amp;'3) Release_Label'!$E:$E,'3) Release_Label'!$H:$H},2,0),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E495" s="128" t="str">
        <f t="shared" si="3"/>
        <v/>
      </c>
      <c r="G495" s="93"/>
      <c r="H495" s="133"/>
      <c r="J495" s="20"/>
      <c r="K495" s="94"/>
      <c r="L495" s="20"/>
      <c r="N495" s="20"/>
      <c r="O495" s="20"/>
      <c r="P495" s="20"/>
    </row>
    <row r="496">
      <c r="A496" s="28"/>
      <c r="B496" s="93"/>
      <c r="C496" s="114" t="str">
        <f t="array" ref="C496">ifs(and(isblank($A496),isblank($B496)),"", not(iserror(vlookup($A496&amp;$B496,'3) Release_Label'!$D:$D&amp;'3) Release_Label'!$E:$E,1,0))),vlookup($A496&amp;$B496,{'3) Release_Label'!$D:$D&amp;'3) Release_Label'!$E:$E,'3) Release_Label'!$F:$F},2,0),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D496" s="114" t="str">
        <f t="array" ref="D496">ifs(and(isblank($A496),isblank($B496)),"", not(iserror(vlookup($A496&amp;$B496,'3) Release_Label'!$D:$D&amp;'3) Release_Label'!$E:$E,1,0))),vlookup($A496&amp;$B496,{'3) Release_Label'!$D:$D&amp;'3) Release_Label'!$E:$E,'3) Release_Label'!$H:$H},2,0),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E496" s="128" t="str">
        <f t="shared" si="3"/>
        <v/>
      </c>
      <c r="G496" s="93"/>
      <c r="H496" s="133"/>
      <c r="J496" s="20"/>
      <c r="K496" s="94"/>
      <c r="L496" s="20"/>
      <c r="N496" s="20"/>
      <c r="O496" s="20"/>
      <c r="P496" s="20"/>
    </row>
    <row r="497">
      <c r="A497" s="28"/>
      <c r="B497" s="93"/>
      <c r="C497" s="114" t="str">
        <f t="array" ref="C497">ifs(and(isblank($A497),isblank($B497)),"", not(iserror(vlookup($A497&amp;$B497,'3) Release_Label'!$D:$D&amp;'3) Release_Label'!$E:$E,1,0))),vlookup($A497&amp;$B497,{'3) Release_Label'!$D:$D&amp;'3) Release_Label'!$E:$E,'3) Release_Label'!$F:$F},2,0),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D497" s="114" t="str">
        <f t="array" ref="D497">ifs(and(isblank($A497),isblank($B497)),"", not(iserror(vlookup($A497&amp;$B497,'3) Release_Label'!$D:$D&amp;'3) Release_Label'!$E:$E,1,0))),vlookup($A497&amp;$B497,{'3) Release_Label'!$D:$D&amp;'3) Release_Label'!$E:$E,'3) Release_Label'!$H:$H},2,0),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E497" s="128" t="str">
        <f t="shared" si="3"/>
        <v/>
      </c>
      <c r="G497" s="93"/>
      <c r="H497" s="133"/>
      <c r="J497" s="20"/>
      <c r="K497" s="94"/>
      <c r="L497" s="20"/>
      <c r="N497" s="20"/>
      <c r="O497" s="20"/>
      <c r="P497" s="20"/>
    </row>
    <row r="498">
      <c r="A498" s="28"/>
      <c r="B498" s="93"/>
      <c r="C498" s="114" t="str">
        <f t="array" ref="C498">ifs(and(isblank($A498),isblank($B498)),"", not(iserror(vlookup($A498&amp;$B498,'3) Release_Label'!$D:$D&amp;'3) Release_Label'!$E:$E,1,0))),vlookup($A498&amp;$B498,{'3) Release_Label'!$D:$D&amp;'3) Release_Label'!$E:$E,'3) Release_Label'!$F:$F},2,0),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D498" s="114" t="str">
        <f t="array" ref="D498">ifs(and(isblank($A498),isblank($B498)),"", not(iserror(vlookup($A498&amp;$B498,'3) Release_Label'!$D:$D&amp;'3) Release_Label'!$E:$E,1,0))),vlookup($A498&amp;$B498,{'3) Release_Label'!$D:$D&amp;'3) Release_Label'!$E:$E,'3) Release_Label'!$H:$H},2,0),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E498" s="128" t="str">
        <f t="shared" si="3"/>
        <v/>
      </c>
      <c r="G498" s="93"/>
      <c r="H498" s="133"/>
      <c r="J498" s="20"/>
      <c r="K498" s="94"/>
      <c r="L498" s="20"/>
      <c r="N498" s="20"/>
      <c r="O498" s="20"/>
      <c r="P498" s="20"/>
    </row>
    <row r="499">
      <c r="A499" s="28"/>
      <c r="B499" s="93"/>
      <c r="C499" s="114" t="str">
        <f t="array" ref="C499">ifs(and(isblank($A499),isblank($B499)),"", not(iserror(vlookup($A499&amp;$B499,'3) Release_Label'!$D:$D&amp;'3) Release_Label'!$E:$E,1,0))),vlookup($A499&amp;$B499,{'3) Release_Label'!$D:$D&amp;'3) Release_Label'!$E:$E,'3) Release_Label'!$F:$F},2,0),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D499" s="114" t="str">
        <f t="array" ref="D499">ifs(and(isblank($A499),isblank($B499)),"", not(iserror(vlookup($A499&amp;$B499,'3) Release_Label'!$D:$D&amp;'3) Release_Label'!$E:$E,1,0))),vlookup($A499&amp;$B499,{'3) Release_Label'!$D:$D&amp;'3) Release_Label'!$E:$E,'3) Release_Label'!$H:$H},2,0),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E499" s="128" t="str">
        <f t="shared" si="3"/>
        <v/>
      </c>
      <c r="G499" s="93"/>
      <c r="H499" s="133"/>
      <c r="J499" s="20"/>
      <c r="K499" s="94"/>
      <c r="L499" s="20"/>
      <c r="N499" s="20"/>
      <c r="O499" s="20"/>
      <c r="P499" s="20"/>
    </row>
    <row r="500">
      <c r="A500" s="28"/>
      <c r="B500" s="93"/>
      <c r="C500" s="114" t="str">
        <f t="array" ref="C500">ifs(and(isblank($A500),isblank($B500)),"", not(iserror(vlookup($A500&amp;$B500,'3) Release_Label'!$D:$D&amp;'3) Release_Label'!$E:$E,1,0))),vlookup($A500&amp;$B500,{'3) Release_Label'!$D:$D&amp;'3) Release_Label'!$E:$E,'3) Release_Label'!$F:$F},2,0),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D500" s="114" t="str">
        <f t="array" ref="D500">ifs(and(isblank($A500),isblank($B500)),"", not(iserror(vlookup($A500&amp;$B500,'3) Release_Label'!$D:$D&amp;'3) Release_Label'!$E:$E,1,0))),vlookup($A500&amp;$B500,{'3) Release_Label'!$D:$D&amp;'3) Release_Label'!$E:$E,'3) Release_Label'!$H:$H},2,0),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E500" s="128" t="str">
        <f t="shared" si="3"/>
        <v/>
      </c>
      <c r="G500" s="93"/>
      <c r="H500" s="133"/>
      <c r="J500" s="20"/>
      <c r="K500" s="94"/>
      <c r="L500" s="20"/>
      <c r="N500" s="20"/>
      <c r="O500" s="20"/>
      <c r="P500" s="20"/>
    </row>
    <row r="501">
      <c r="A501" s="28"/>
      <c r="B501" s="93"/>
      <c r="C501" s="114" t="str">
        <f t="array" ref="C501">ifs(and(isblank($A501),isblank($B501)),"", not(iserror(vlookup($A501&amp;$B501,'3) Release_Label'!$D:$D&amp;'3) Release_Label'!$E:$E,1,0))),vlookup($A501&amp;$B501,{'3) Release_Label'!$D:$D&amp;'3) Release_Label'!$E:$E,'3) Release_Label'!$F:$F},2,0),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D501" s="114" t="str">
        <f t="array" ref="D501">ifs(and(isblank($A501),isblank($B501)),"", not(iserror(vlookup($A501&amp;$B501,'3) Release_Label'!$D:$D&amp;'3) Release_Label'!$E:$E,1,0))),vlookup($A501&amp;$B501,{'3) Release_Label'!$D:$D&amp;'3) Release_Label'!$E:$E,'3) Release_Label'!$H:$H},2,0),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E501" s="128" t="str">
        <f t="shared" si="3"/>
        <v/>
      </c>
      <c r="G501" s="93"/>
      <c r="H501" s="133"/>
      <c r="J501" s="20"/>
      <c r="K501" s="94"/>
      <c r="L501" s="20"/>
      <c r="N501" s="20"/>
      <c r="O501" s="20"/>
      <c r="P501" s="20"/>
    </row>
    <row r="502">
      <c r="A502" s="28"/>
      <c r="B502" s="93"/>
      <c r="C502" s="114" t="str">
        <f t="array" ref="C502">ifs(and(isblank($A502),isblank($B502)),"", not(iserror(vlookup($A502&amp;$B502,'3) Release_Label'!$D:$D&amp;'3) Release_Label'!$E:$E,1,0))),vlookup($A502&amp;$B502,{'3) Release_Label'!$D:$D&amp;'3) Release_Label'!$E:$E,'3) Release_Label'!$F:$F},2,0),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D502" s="114" t="str">
        <f t="array" ref="D502">ifs(and(isblank($A502),isblank($B502)),"", not(iserror(vlookup($A502&amp;$B502,'3) Release_Label'!$D:$D&amp;'3) Release_Label'!$E:$E,1,0))),vlookup($A502&amp;$B502,{'3) Release_Label'!$D:$D&amp;'3) Release_Label'!$E:$E,'3) Release_Label'!$H:$H},2,0),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E502" s="128" t="str">
        <f t="shared" si="3"/>
        <v/>
      </c>
      <c r="G502" s="93"/>
      <c r="H502" s="133"/>
      <c r="J502" s="20"/>
      <c r="K502" s="94"/>
      <c r="L502" s="20"/>
      <c r="N502" s="20"/>
      <c r="O502" s="20"/>
      <c r="P502" s="20"/>
    </row>
    <row r="503">
      <c r="A503" s="28"/>
      <c r="B503" s="93"/>
      <c r="C503" s="114" t="str">
        <f t="array" ref="C503">ifs(and(isblank($A503),isblank($B503)),"", not(iserror(vlookup($A503&amp;$B503,'3) Release_Label'!$D:$D&amp;'3) Release_Label'!$E:$E,1,0))),vlookup($A503&amp;$B503,{'3) Release_Label'!$D:$D&amp;'3) Release_Label'!$E:$E,'3) Release_Label'!$F:$F},2,0),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D503" s="114" t="str">
        <f t="array" ref="D503">ifs(and(isblank($A503),isblank($B503)),"", not(iserror(vlookup($A503&amp;$B503,'3) Release_Label'!$D:$D&amp;'3) Release_Label'!$E:$E,1,0))),vlookup($A503&amp;$B503,{'3) Release_Label'!$D:$D&amp;'3) Release_Label'!$E:$E,'3) Release_Label'!$H:$H},2,0),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E503" s="128" t="str">
        <f t="shared" si="3"/>
        <v/>
      </c>
      <c r="G503" s="93"/>
      <c r="H503" s="133"/>
      <c r="J503" s="20"/>
      <c r="K503" s="94"/>
      <c r="L503" s="20"/>
      <c r="N503" s="20"/>
      <c r="O503" s="20"/>
      <c r="P503" s="20"/>
    </row>
    <row r="504">
      <c r="A504" s="28"/>
      <c r="B504" s="93"/>
      <c r="C504" s="114" t="str">
        <f t="array" ref="C504">ifs(and(isblank($A504),isblank($B504)),"", not(iserror(vlookup($A504&amp;$B504,'3) Release_Label'!$D:$D&amp;'3) Release_Label'!$E:$E,1,0))),vlookup($A504&amp;$B504,{'3) Release_Label'!$D:$D&amp;'3) Release_Label'!$E:$E,'3) Release_Label'!$F:$F},2,0),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D504" s="114" t="str">
        <f t="array" ref="D504">ifs(and(isblank($A504),isblank($B504)),"", not(iserror(vlookup($A504&amp;$B504,'3) Release_Label'!$D:$D&amp;'3) Release_Label'!$E:$E,1,0))),vlookup($A504&amp;$B504,{'3) Release_Label'!$D:$D&amp;'3) Release_Label'!$E:$E,'3) Release_Label'!$H:$H},2,0),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E504" s="128" t="str">
        <f t="shared" si="3"/>
        <v/>
      </c>
      <c r="G504" s="93"/>
      <c r="H504" s="133"/>
      <c r="J504" s="20"/>
      <c r="K504" s="94"/>
      <c r="L504" s="20"/>
      <c r="N504" s="20"/>
      <c r="O504" s="20"/>
      <c r="P504" s="20"/>
    </row>
    <row r="505">
      <c r="A505" s="28"/>
      <c r="B505" s="93"/>
      <c r="C505" s="114" t="str">
        <f t="array" ref="C505">ifs(and(isblank($A505),isblank($B505)),"", not(iserror(vlookup($A505&amp;$B505,'3) Release_Label'!$D:$D&amp;'3) Release_Label'!$E:$E,1,0))),vlookup($A505&amp;$B505,{'3) Release_Label'!$D:$D&amp;'3) Release_Label'!$E:$E,'3) Release_Label'!$F:$F},2,0),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D505" s="114" t="str">
        <f t="array" ref="D505">ifs(and(isblank($A505),isblank($B505)),"", not(iserror(vlookup($A505&amp;$B505,'3) Release_Label'!$D:$D&amp;'3) Release_Label'!$E:$E,1,0))),vlookup($A505&amp;$B505,{'3) Release_Label'!$D:$D&amp;'3) Release_Label'!$E:$E,'3) Release_Label'!$H:$H},2,0),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E505" s="128" t="str">
        <f t="shared" si="3"/>
        <v/>
      </c>
      <c r="G505" s="93"/>
      <c r="H505" s="133"/>
      <c r="J505" s="20"/>
      <c r="K505" s="94"/>
      <c r="L505" s="20"/>
      <c r="N505" s="20"/>
      <c r="O505" s="20"/>
      <c r="P505" s="20"/>
    </row>
    <row r="506">
      <c r="A506" s="28"/>
      <c r="B506" s="93"/>
      <c r="C506" s="114" t="str">
        <f t="array" ref="C506">ifs(and(isblank($A506),isblank($B506)),"", not(iserror(vlookup($A506&amp;$B506,'3) Release_Label'!$D:$D&amp;'3) Release_Label'!$E:$E,1,0))),vlookup($A506&amp;$B506,{'3) Release_Label'!$D:$D&amp;'3) Release_Label'!$E:$E,'3) Release_Label'!$F:$F},2,0),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D506" s="114" t="str">
        <f t="array" ref="D506">ifs(and(isblank($A506),isblank($B506)),"", not(iserror(vlookup($A506&amp;$B506,'3) Release_Label'!$D:$D&amp;'3) Release_Label'!$E:$E,1,0))),vlookup($A506&amp;$B506,{'3) Release_Label'!$D:$D&amp;'3) Release_Label'!$E:$E,'3) Release_Label'!$H:$H},2,0),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E506" s="128" t="str">
        <f t="shared" si="3"/>
        <v/>
      </c>
      <c r="G506" s="93"/>
      <c r="H506" s="133"/>
      <c r="J506" s="20"/>
      <c r="K506" s="94"/>
      <c r="L506" s="20"/>
      <c r="N506" s="20"/>
      <c r="O506" s="20"/>
      <c r="P506" s="20"/>
    </row>
    <row r="507">
      <c r="A507" s="28"/>
      <c r="B507" s="93"/>
      <c r="C507" s="114" t="str">
        <f t="array" ref="C507">ifs(and(isblank($A507),isblank($B507)),"", not(iserror(vlookup($A507&amp;$B507,'3) Release_Label'!$D:$D&amp;'3) Release_Label'!$E:$E,1,0))),vlookup($A507&amp;$B507,{'3) Release_Label'!$D:$D&amp;'3) Release_Label'!$E:$E,'3) Release_Label'!$F:$F},2,0),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D507" s="114" t="str">
        <f t="array" ref="D507">ifs(and(isblank($A507),isblank($B507)),"", not(iserror(vlookup($A507&amp;$B507,'3) Release_Label'!$D:$D&amp;'3) Release_Label'!$E:$E,1,0))),vlookup($A507&amp;$B507,{'3) Release_Label'!$D:$D&amp;'3) Release_Label'!$E:$E,'3) Release_Label'!$H:$H},2,0),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E507" s="128" t="str">
        <f t="shared" si="3"/>
        <v/>
      </c>
      <c r="G507" s="93"/>
      <c r="H507" s="133"/>
      <c r="J507" s="20"/>
      <c r="K507" s="94"/>
      <c r="L507" s="20"/>
      <c r="N507" s="20"/>
      <c r="O507" s="20"/>
      <c r="P507" s="20"/>
    </row>
    <row r="508">
      <c r="A508" s="28"/>
      <c r="B508" s="93"/>
      <c r="C508" s="114" t="str">
        <f t="array" ref="C508">ifs(and(isblank($A508),isblank($B508)),"", not(iserror(vlookup($A508&amp;$B508,'3) Release_Label'!$D:$D&amp;'3) Release_Label'!$E:$E,1,0))),vlookup($A508&amp;$B508,{'3) Release_Label'!$D:$D&amp;'3) Release_Label'!$E:$E,'3) Release_Label'!$F:$F},2,0),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D508" s="114" t="str">
        <f t="array" ref="D508">ifs(and(isblank($A508),isblank($B508)),"", not(iserror(vlookup($A508&amp;$B508,'3) Release_Label'!$D:$D&amp;'3) Release_Label'!$E:$E,1,0))),vlookup($A508&amp;$B508,{'3) Release_Label'!$D:$D&amp;'3) Release_Label'!$E:$E,'3) Release_Label'!$H:$H},2,0),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E508" s="128" t="str">
        <f t="shared" si="3"/>
        <v/>
      </c>
      <c r="G508" s="93"/>
      <c r="H508" s="133"/>
      <c r="J508" s="20"/>
      <c r="K508" s="94"/>
      <c r="L508" s="20"/>
      <c r="N508" s="20"/>
      <c r="O508" s="20"/>
      <c r="P508" s="20"/>
    </row>
    <row r="509">
      <c r="A509" s="28"/>
      <c r="B509" s="93"/>
      <c r="C509" s="114" t="str">
        <f t="array" ref="C509">ifs(and(isblank($A509),isblank($B509)),"", not(iserror(vlookup($A509&amp;$B509,'3) Release_Label'!$D:$D&amp;'3) Release_Label'!$E:$E,1,0))),vlookup($A509&amp;$B509,{'3) Release_Label'!$D:$D&amp;'3) Release_Label'!$E:$E,'3) Release_Label'!$F:$F},2,0),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D509" s="114" t="str">
        <f t="array" ref="D509">ifs(and(isblank($A509),isblank($B509)),"", not(iserror(vlookup($A509&amp;$B509,'3) Release_Label'!$D:$D&amp;'3) Release_Label'!$E:$E,1,0))),vlookup($A509&amp;$B509,{'3) Release_Label'!$D:$D&amp;'3) Release_Label'!$E:$E,'3) Release_Label'!$H:$H},2,0),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E509" s="128" t="str">
        <f t="shared" si="3"/>
        <v/>
      </c>
      <c r="G509" s="93"/>
      <c r="H509" s="133"/>
      <c r="J509" s="20"/>
      <c r="K509" s="94"/>
      <c r="L509" s="20"/>
      <c r="N509" s="20"/>
      <c r="O509" s="20"/>
      <c r="P509" s="20"/>
    </row>
    <row r="510">
      <c r="A510" s="28"/>
      <c r="B510" s="93"/>
      <c r="C510" s="114" t="str">
        <f t="array" ref="C510">ifs(and(isblank($A510),isblank($B510)),"", not(iserror(vlookup($A510&amp;$B510,'3) Release_Label'!$D:$D&amp;'3) Release_Label'!$E:$E,1,0))),vlookup($A510&amp;$B510,{'3) Release_Label'!$D:$D&amp;'3) Release_Label'!$E:$E,'3) Release_Label'!$F:$F},2,0),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D510" s="114" t="str">
        <f t="array" ref="D510">ifs(and(isblank($A510),isblank($B510)),"", not(iserror(vlookup($A510&amp;$B510,'3) Release_Label'!$D:$D&amp;'3) Release_Label'!$E:$E,1,0))),vlookup($A510&amp;$B510,{'3) Release_Label'!$D:$D&amp;'3) Release_Label'!$E:$E,'3) Release_Label'!$H:$H},2,0),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E510" s="128" t="str">
        <f t="shared" si="3"/>
        <v/>
      </c>
      <c r="G510" s="93"/>
      <c r="H510" s="133"/>
      <c r="J510" s="20"/>
      <c r="K510" s="94"/>
      <c r="L510" s="20"/>
      <c r="N510" s="20"/>
      <c r="O510" s="20"/>
      <c r="P510" s="20"/>
    </row>
    <row r="511">
      <c r="A511" s="28"/>
      <c r="B511" s="93"/>
      <c r="C511" s="114" t="str">
        <f t="array" ref="C511">ifs(and(isblank($A511),isblank($B511)),"", not(iserror(vlookup($A511&amp;$B511,'3) Release_Label'!$D:$D&amp;'3) Release_Label'!$E:$E,1,0))),vlookup($A511&amp;$B511,{'3) Release_Label'!$D:$D&amp;'3) Release_Label'!$E:$E,'3) Release_Label'!$F:$F},2,0),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D511" s="114" t="str">
        <f t="array" ref="D511">ifs(and(isblank($A511),isblank($B511)),"", not(iserror(vlookup($A511&amp;$B511,'3) Release_Label'!$D:$D&amp;'3) Release_Label'!$E:$E,1,0))),vlookup($A511&amp;$B511,{'3) Release_Label'!$D:$D&amp;'3) Release_Label'!$E:$E,'3) Release_Label'!$H:$H},2,0),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E511" s="128" t="str">
        <f t="shared" si="3"/>
        <v/>
      </c>
      <c r="G511" s="93"/>
      <c r="H511" s="133"/>
      <c r="J511" s="20"/>
      <c r="K511" s="94"/>
      <c r="L511" s="20"/>
      <c r="N511" s="20"/>
      <c r="O511" s="20"/>
      <c r="P511" s="20"/>
    </row>
    <row r="512">
      <c r="A512" s="28"/>
      <c r="B512" s="93"/>
      <c r="C512" s="114" t="str">
        <f t="array" ref="C512">ifs(and(isblank($A512),isblank($B512)),"", not(iserror(vlookup($A512&amp;$B512,'3) Release_Label'!$D:$D&amp;'3) Release_Label'!$E:$E,1,0))),vlookup($A512&amp;$B512,{'3) Release_Label'!$D:$D&amp;'3) Release_Label'!$E:$E,'3) Release_Label'!$F:$F},2,0),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D512" s="114" t="str">
        <f t="array" ref="D512">ifs(and(isblank($A512),isblank($B512)),"", not(iserror(vlookup($A512&amp;$B512,'3) Release_Label'!$D:$D&amp;'3) Release_Label'!$E:$E,1,0))),vlookup($A512&amp;$B512,{'3) Release_Label'!$D:$D&amp;'3) Release_Label'!$E:$E,'3) Release_Label'!$H:$H},2,0),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E512" s="128" t="str">
        <f t="shared" si="3"/>
        <v/>
      </c>
      <c r="G512" s="93"/>
      <c r="H512" s="133"/>
      <c r="J512" s="20"/>
      <c r="K512" s="94"/>
      <c r="L512" s="20"/>
      <c r="N512" s="20"/>
      <c r="O512" s="20"/>
      <c r="P512" s="20"/>
    </row>
    <row r="513">
      <c r="A513" s="28"/>
      <c r="B513" s="93"/>
      <c r="C513" s="114" t="str">
        <f t="array" ref="C513">ifs(and(isblank($A513),isblank($B513)),"", not(iserror(vlookup($A513&amp;$B513,'3) Release_Label'!$D:$D&amp;'3) Release_Label'!$E:$E,1,0))),vlookup($A513&amp;$B513,{'3) Release_Label'!$D:$D&amp;'3) Release_Label'!$E:$E,'3) Release_Label'!$F:$F},2,0),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D513" s="114" t="str">
        <f t="array" ref="D513">ifs(and(isblank($A513),isblank($B513)),"", not(iserror(vlookup($A513&amp;$B513,'3) Release_Label'!$D:$D&amp;'3) Release_Label'!$E:$E,1,0))),vlookup($A513&amp;$B513,{'3) Release_Label'!$D:$D&amp;'3) Release_Label'!$E:$E,'3) Release_Label'!$H:$H},2,0),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E513" s="128" t="str">
        <f t="shared" si="3"/>
        <v/>
      </c>
      <c r="G513" s="93"/>
      <c r="H513" s="133"/>
      <c r="J513" s="20"/>
      <c r="K513" s="94"/>
      <c r="L513" s="20"/>
      <c r="N513" s="20"/>
      <c r="O513" s="20"/>
      <c r="P513" s="20"/>
    </row>
    <row r="514">
      <c r="A514" s="28"/>
      <c r="B514" s="93"/>
      <c r="C514" s="114" t="str">
        <f t="array" ref="C514">ifs(and(isblank($A514),isblank($B514)),"", not(iserror(vlookup($A514&amp;$B514,'3) Release_Label'!$D:$D&amp;'3) Release_Label'!$E:$E,1,0))),vlookup($A514&amp;$B514,{'3) Release_Label'!$D:$D&amp;'3) Release_Label'!$E:$E,'3) Release_Label'!$F:$F},2,0),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D514" s="114" t="str">
        <f t="array" ref="D514">ifs(and(isblank($A514),isblank($B514)),"", not(iserror(vlookup($A514&amp;$B514,'3) Release_Label'!$D:$D&amp;'3) Release_Label'!$E:$E,1,0))),vlookup($A514&amp;$B514,{'3) Release_Label'!$D:$D&amp;'3) Release_Label'!$E:$E,'3) Release_Label'!$H:$H},2,0),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E514" s="128" t="str">
        <f t="shared" si="3"/>
        <v/>
      </c>
      <c r="G514" s="93"/>
      <c r="H514" s="133"/>
      <c r="J514" s="20"/>
      <c r="K514" s="94"/>
      <c r="L514" s="20"/>
      <c r="N514" s="20"/>
      <c r="O514" s="20"/>
      <c r="P514" s="20"/>
    </row>
    <row r="515">
      <c r="A515" s="28"/>
      <c r="B515" s="93"/>
      <c r="C515" s="114" t="str">
        <f t="array" ref="C515">ifs(and(isblank($A515),isblank($B515)),"", not(iserror(vlookup($A515&amp;$B515,'3) Release_Label'!$D:$D&amp;'3) Release_Label'!$E:$E,1,0))),vlookup($A515&amp;$B515,{'3) Release_Label'!$D:$D&amp;'3) Release_Label'!$E:$E,'3) Release_Label'!$F:$F},2,0),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D515" s="114" t="str">
        <f t="array" ref="D515">ifs(and(isblank($A515),isblank($B515)),"", not(iserror(vlookup($A515&amp;$B515,'3) Release_Label'!$D:$D&amp;'3) Release_Label'!$E:$E,1,0))),vlookup($A515&amp;$B515,{'3) Release_Label'!$D:$D&amp;'3) Release_Label'!$E:$E,'3) Release_Label'!$H:$H},2,0),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E515" s="128" t="str">
        <f t="shared" si="3"/>
        <v/>
      </c>
      <c r="G515" s="93"/>
      <c r="H515" s="133"/>
      <c r="J515" s="20"/>
      <c r="K515" s="94"/>
      <c r="L515" s="20"/>
      <c r="N515" s="20"/>
      <c r="O515" s="20"/>
      <c r="P515" s="20"/>
    </row>
    <row r="516">
      <c r="A516" s="28"/>
      <c r="B516" s="93"/>
      <c r="C516" s="114" t="str">
        <f t="array" ref="C516">ifs(and(isblank($A516),isblank($B516)),"", not(iserror(vlookup($A516&amp;$B516,'3) Release_Label'!$D:$D&amp;'3) Release_Label'!$E:$E,1,0))),vlookup($A516&amp;$B516,{'3) Release_Label'!$D:$D&amp;'3) Release_Label'!$E:$E,'3) Release_Label'!$F:$F},2,0),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D516" s="114" t="str">
        <f t="array" ref="D516">ifs(and(isblank($A516),isblank($B516)),"", not(iserror(vlookup($A516&amp;$B516,'3) Release_Label'!$D:$D&amp;'3) Release_Label'!$E:$E,1,0))),vlookup($A516&amp;$B516,{'3) Release_Label'!$D:$D&amp;'3) Release_Label'!$E:$E,'3) Release_Label'!$H:$H},2,0),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E516" s="128" t="str">
        <f t="shared" si="3"/>
        <v/>
      </c>
      <c r="G516" s="93"/>
      <c r="H516" s="133"/>
      <c r="J516" s="20"/>
      <c r="K516" s="94"/>
      <c r="L516" s="20"/>
      <c r="N516" s="20"/>
      <c r="O516" s="20"/>
      <c r="P516" s="20"/>
    </row>
    <row r="517">
      <c r="A517" s="28"/>
      <c r="B517" s="93"/>
      <c r="C517" s="114" t="str">
        <f t="array" ref="C517">ifs(and(isblank($A517),isblank($B517)),"", not(iserror(vlookup($A517&amp;$B517,'3) Release_Label'!$D:$D&amp;'3) Release_Label'!$E:$E,1,0))),vlookup($A517&amp;$B517,{'3) Release_Label'!$D:$D&amp;'3) Release_Label'!$E:$E,'3) Release_Label'!$F:$F},2,0),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D517" s="114" t="str">
        <f t="array" ref="D517">ifs(and(isblank($A517),isblank($B517)),"", not(iserror(vlookup($A517&amp;$B517,'3) Release_Label'!$D:$D&amp;'3) Release_Label'!$E:$E,1,0))),vlookup($A517&amp;$B517,{'3) Release_Label'!$D:$D&amp;'3) Release_Label'!$E:$E,'3) Release_Label'!$H:$H},2,0),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E517" s="128" t="str">
        <f t="shared" si="3"/>
        <v/>
      </c>
      <c r="G517" s="93"/>
      <c r="H517" s="133"/>
      <c r="J517" s="20"/>
      <c r="K517" s="94"/>
      <c r="L517" s="20"/>
      <c r="N517" s="20"/>
      <c r="O517" s="20"/>
      <c r="P517" s="20"/>
    </row>
    <row r="518">
      <c r="A518" s="28"/>
      <c r="B518" s="93"/>
      <c r="C518" s="114" t="str">
        <f t="array" ref="C518">ifs(and(isblank($A518),isblank($B518)),"", not(iserror(vlookup($A518&amp;$B518,'3) Release_Label'!$D:$D&amp;'3) Release_Label'!$E:$E,1,0))),vlookup($A518&amp;$B518,{'3) Release_Label'!$D:$D&amp;'3) Release_Label'!$E:$E,'3) Release_Label'!$F:$F},2,0),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D518" s="114" t="str">
        <f t="array" ref="D518">ifs(and(isblank($A518),isblank($B518)),"", not(iserror(vlookup($A518&amp;$B518,'3) Release_Label'!$D:$D&amp;'3) Release_Label'!$E:$E,1,0))),vlookup($A518&amp;$B518,{'3) Release_Label'!$D:$D&amp;'3) Release_Label'!$E:$E,'3) Release_Label'!$H:$H},2,0),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E518" s="128" t="str">
        <f t="shared" si="3"/>
        <v/>
      </c>
      <c r="G518" s="93"/>
      <c r="H518" s="133"/>
      <c r="J518" s="20"/>
      <c r="K518" s="94"/>
      <c r="L518" s="20"/>
      <c r="N518" s="20"/>
      <c r="O518" s="20"/>
      <c r="P518" s="20"/>
    </row>
    <row r="519">
      <c r="A519" s="28"/>
      <c r="B519" s="93"/>
      <c r="C519" s="114" t="str">
        <f t="array" ref="C519">ifs(and(isblank($A519),isblank($B519)),"", not(iserror(vlookup($A519&amp;$B519,'3) Release_Label'!$D:$D&amp;'3) Release_Label'!$E:$E,1,0))),vlookup($A519&amp;$B519,{'3) Release_Label'!$D:$D&amp;'3) Release_Label'!$E:$E,'3) Release_Label'!$F:$F},2,0),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D519" s="114" t="str">
        <f t="array" ref="D519">ifs(and(isblank($A519),isblank($B519)),"", not(iserror(vlookup($A519&amp;$B519,'3) Release_Label'!$D:$D&amp;'3) Release_Label'!$E:$E,1,0))),vlookup($A519&amp;$B519,{'3) Release_Label'!$D:$D&amp;'3) Release_Label'!$E:$E,'3) Release_Label'!$H:$H},2,0),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E519" s="128" t="str">
        <f t="shared" si="3"/>
        <v/>
      </c>
      <c r="G519" s="93"/>
      <c r="H519" s="133"/>
      <c r="J519" s="20"/>
      <c r="K519" s="94"/>
      <c r="L519" s="20"/>
      <c r="N519" s="20"/>
      <c r="O519" s="20"/>
      <c r="P519" s="20"/>
    </row>
    <row r="520">
      <c r="A520" s="28"/>
      <c r="B520" s="93"/>
      <c r="C520" s="114" t="str">
        <f t="array" ref="C520">ifs(and(isblank($A520),isblank($B520)),"", not(iserror(vlookup($A520&amp;$B520,'3) Release_Label'!$D:$D&amp;'3) Release_Label'!$E:$E,1,0))),vlookup($A520&amp;$B520,{'3) Release_Label'!$D:$D&amp;'3) Release_Label'!$E:$E,'3) Release_Label'!$F:$F},2,0),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D520" s="114" t="str">
        <f t="array" ref="D520">ifs(and(isblank($A520),isblank($B520)),"", not(iserror(vlookup($A520&amp;$B520,'3) Release_Label'!$D:$D&amp;'3) Release_Label'!$E:$E,1,0))),vlookup($A520&amp;$B520,{'3) Release_Label'!$D:$D&amp;'3) Release_Label'!$E:$E,'3) Release_Label'!$H:$H},2,0),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E520" s="128" t="str">
        <f t="shared" si="3"/>
        <v/>
      </c>
      <c r="G520" s="93"/>
      <c r="H520" s="133"/>
      <c r="J520" s="20"/>
      <c r="K520" s="94"/>
      <c r="L520" s="20"/>
      <c r="N520" s="20"/>
      <c r="O520" s="20"/>
      <c r="P520" s="20"/>
    </row>
    <row r="521">
      <c r="A521" s="28"/>
      <c r="B521" s="93"/>
      <c r="C521" s="114" t="str">
        <f t="array" ref="C521">ifs(and(isblank($A521),isblank($B521)),"", not(iserror(vlookup($A521&amp;$B521,'3) Release_Label'!$D:$D&amp;'3) Release_Label'!$E:$E,1,0))),vlookup($A521&amp;$B521,{'3) Release_Label'!$D:$D&amp;'3) Release_Label'!$E:$E,'3) Release_Label'!$F:$F},2,0),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D521" s="114" t="str">
        <f t="array" ref="D521">ifs(and(isblank($A521),isblank($B521)),"", not(iserror(vlookup($A521&amp;$B521,'3) Release_Label'!$D:$D&amp;'3) Release_Label'!$E:$E,1,0))),vlookup($A521&amp;$B521,{'3) Release_Label'!$D:$D&amp;'3) Release_Label'!$E:$E,'3) Release_Label'!$H:$H},2,0),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E521" s="128" t="str">
        <f t="shared" si="3"/>
        <v/>
      </c>
      <c r="G521" s="93"/>
      <c r="H521" s="133"/>
      <c r="J521" s="20"/>
      <c r="K521" s="94"/>
      <c r="L521" s="20"/>
      <c r="N521" s="20"/>
      <c r="O521" s="20"/>
      <c r="P521" s="20"/>
    </row>
    <row r="522">
      <c r="A522" s="28"/>
      <c r="B522" s="93"/>
      <c r="C522" s="114" t="str">
        <f t="array" ref="C522">ifs(and(isblank($A522),isblank($B522)),"", not(iserror(vlookup($A522&amp;$B522,'3) Release_Label'!$D:$D&amp;'3) Release_Label'!$E:$E,1,0))),vlookup($A522&amp;$B522,{'3) Release_Label'!$D:$D&amp;'3) Release_Label'!$E:$E,'3) Release_Label'!$F:$F},2,0),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D522" s="114" t="str">
        <f t="array" ref="D522">ifs(and(isblank($A522),isblank($B522)),"", not(iserror(vlookup($A522&amp;$B522,'3) Release_Label'!$D:$D&amp;'3) Release_Label'!$E:$E,1,0))),vlookup($A522&amp;$B522,{'3) Release_Label'!$D:$D&amp;'3) Release_Label'!$E:$E,'3) Release_Label'!$H:$H},2,0),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E522" s="128" t="str">
        <f t="shared" si="3"/>
        <v/>
      </c>
      <c r="G522" s="93"/>
      <c r="H522" s="133"/>
      <c r="J522" s="20"/>
      <c r="K522" s="94"/>
      <c r="L522" s="20"/>
      <c r="N522" s="20"/>
      <c r="O522" s="20"/>
      <c r="P522" s="20"/>
    </row>
    <row r="523">
      <c r="A523" s="28"/>
      <c r="B523" s="93"/>
      <c r="C523" s="114" t="str">
        <f t="array" ref="C523">ifs(and(isblank($A523),isblank($B523)),"", not(iserror(vlookup($A523&amp;$B523,'3) Release_Label'!$D:$D&amp;'3) Release_Label'!$E:$E,1,0))),vlookup($A523&amp;$B523,{'3) Release_Label'!$D:$D&amp;'3) Release_Label'!$E:$E,'3) Release_Label'!$F:$F},2,0),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D523" s="114" t="str">
        <f t="array" ref="D523">ifs(and(isblank($A523),isblank($B523)),"", not(iserror(vlookup($A523&amp;$B523,'3) Release_Label'!$D:$D&amp;'3) Release_Label'!$E:$E,1,0))),vlookup($A523&amp;$B523,{'3) Release_Label'!$D:$D&amp;'3) Release_Label'!$E:$E,'3) Release_Label'!$H:$H},2,0),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E523" s="128" t="str">
        <f t="shared" si="3"/>
        <v/>
      </c>
      <c r="G523" s="93"/>
      <c r="H523" s="133"/>
      <c r="J523" s="20"/>
      <c r="K523" s="94"/>
      <c r="L523" s="20"/>
      <c r="N523" s="20"/>
      <c r="O523" s="20"/>
      <c r="P523" s="20"/>
    </row>
    <row r="524">
      <c r="A524" s="28"/>
      <c r="B524" s="93"/>
      <c r="C524" s="114" t="str">
        <f t="array" ref="C524">ifs(and(isblank($A524),isblank($B524)),"", not(iserror(vlookup($A524&amp;$B524,'3) Release_Label'!$D:$D&amp;'3) Release_Label'!$E:$E,1,0))),vlookup($A524&amp;$B524,{'3) Release_Label'!$D:$D&amp;'3) Release_Label'!$E:$E,'3) Release_Label'!$F:$F},2,0),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D524" s="114" t="str">
        <f t="array" ref="D524">ifs(and(isblank($A524),isblank($B524)),"", not(iserror(vlookup($A524&amp;$B524,'3) Release_Label'!$D:$D&amp;'3) Release_Label'!$E:$E,1,0))),vlookup($A524&amp;$B524,{'3) Release_Label'!$D:$D&amp;'3) Release_Label'!$E:$E,'3) Release_Label'!$H:$H},2,0),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E524" s="128" t="str">
        <f t="shared" si="3"/>
        <v/>
      </c>
      <c r="G524" s="93"/>
      <c r="H524" s="133"/>
      <c r="J524" s="20"/>
      <c r="K524" s="94"/>
      <c r="L524" s="20"/>
      <c r="N524" s="20"/>
      <c r="O524" s="20"/>
      <c r="P524" s="20"/>
    </row>
    <row r="525">
      <c r="A525" s="28"/>
      <c r="B525" s="93"/>
      <c r="C525" s="114" t="str">
        <f t="array" ref="C525">ifs(and(isblank($A525),isblank($B525)),"", not(iserror(vlookup($A525&amp;$B525,'3) Release_Label'!$D:$D&amp;'3) Release_Label'!$E:$E,1,0))),vlookup($A525&amp;$B525,{'3) Release_Label'!$D:$D&amp;'3) Release_Label'!$E:$E,'3) Release_Label'!$F:$F},2,0),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D525" s="114" t="str">
        <f t="array" ref="D525">ifs(and(isblank($A525),isblank($B525)),"", not(iserror(vlookup($A525&amp;$B525,'3) Release_Label'!$D:$D&amp;'3) Release_Label'!$E:$E,1,0))),vlookup($A525&amp;$B525,{'3) Release_Label'!$D:$D&amp;'3) Release_Label'!$E:$E,'3) Release_Label'!$H:$H},2,0),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E525" s="128" t="str">
        <f t="shared" si="3"/>
        <v/>
      </c>
      <c r="G525" s="93"/>
      <c r="H525" s="133"/>
      <c r="J525" s="20"/>
      <c r="K525" s="94"/>
      <c r="L525" s="20"/>
      <c r="N525" s="20"/>
      <c r="O525" s="20"/>
      <c r="P525" s="20"/>
    </row>
    <row r="526">
      <c r="A526" s="28"/>
      <c r="B526" s="93"/>
      <c r="C526" s="114" t="str">
        <f t="array" ref="C526">ifs(and(isblank($A526),isblank($B526)),"", not(iserror(vlookup($A526&amp;$B526,'3) Release_Label'!$D:$D&amp;'3) Release_Label'!$E:$E,1,0))),vlookup($A526&amp;$B526,{'3) Release_Label'!$D:$D&amp;'3) Release_Label'!$E:$E,'3) Release_Label'!$F:$F},2,0),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D526" s="114" t="str">
        <f t="array" ref="D526">ifs(and(isblank($A526),isblank($B526)),"", not(iserror(vlookup($A526&amp;$B526,'3) Release_Label'!$D:$D&amp;'3) Release_Label'!$E:$E,1,0))),vlookup($A526&amp;$B526,{'3) Release_Label'!$D:$D&amp;'3) Release_Label'!$E:$E,'3) Release_Label'!$H:$H},2,0),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E526" s="128" t="str">
        <f t="shared" si="3"/>
        <v/>
      </c>
      <c r="G526" s="93"/>
      <c r="H526" s="133"/>
      <c r="J526" s="20"/>
      <c r="K526" s="94"/>
      <c r="L526" s="20"/>
      <c r="N526" s="20"/>
      <c r="O526" s="20"/>
      <c r="P526" s="20"/>
    </row>
    <row r="527">
      <c r="A527" s="28"/>
      <c r="B527" s="93"/>
      <c r="C527" s="114" t="str">
        <f t="array" ref="C527">ifs(and(isblank($A527),isblank($B527)),"", not(iserror(vlookup($A527&amp;$B527,'3) Release_Label'!$D:$D&amp;'3) Release_Label'!$E:$E,1,0))),vlookup($A527&amp;$B527,{'3) Release_Label'!$D:$D&amp;'3) Release_Label'!$E:$E,'3) Release_Label'!$F:$F},2,0),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D527" s="114" t="str">
        <f t="array" ref="D527">ifs(and(isblank($A527),isblank($B527)),"", not(iserror(vlookup($A527&amp;$B527,'3) Release_Label'!$D:$D&amp;'3) Release_Label'!$E:$E,1,0))),vlookup($A527&amp;$B527,{'3) Release_Label'!$D:$D&amp;'3) Release_Label'!$E:$E,'3) Release_Label'!$H:$H},2,0),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E527" s="128" t="str">
        <f t="shared" si="3"/>
        <v/>
      </c>
      <c r="G527" s="93"/>
      <c r="H527" s="133"/>
      <c r="J527" s="20"/>
      <c r="K527" s="94"/>
      <c r="L527" s="20"/>
      <c r="N527" s="20"/>
      <c r="O527" s="20"/>
      <c r="P527" s="20"/>
    </row>
    <row r="528">
      <c r="A528" s="28"/>
      <c r="B528" s="93"/>
      <c r="C528" s="114" t="str">
        <f t="array" ref="C528">ifs(and(isblank($A528),isblank($B528)),"", not(iserror(vlookup($A528&amp;$B528,'3) Release_Label'!$D:$D&amp;'3) Release_Label'!$E:$E,1,0))),vlookup($A528&amp;$B528,{'3) Release_Label'!$D:$D&amp;'3) Release_Label'!$E:$E,'3) Release_Label'!$F:$F},2,0),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D528" s="114" t="str">
        <f t="array" ref="D528">ifs(and(isblank($A528),isblank($B528)),"", not(iserror(vlookup($A528&amp;$B528,'3) Release_Label'!$D:$D&amp;'3) Release_Label'!$E:$E,1,0))),vlookup($A528&amp;$B528,{'3) Release_Label'!$D:$D&amp;'3) Release_Label'!$E:$E,'3) Release_Label'!$H:$H},2,0),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E528" s="128" t="str">
        <f t="shared" si="3"/>
        <v/>
      </c>
      <c r="G528" s="93"/>
      <c r="H528" s="133"/>
      <c r="J528" s="20"/>
      <c r="K528" s="94"/>
      <c r="L528" s="20"/>
      <c r="N528" s="20"/>
      <c r="O528" s="20"/>
      <c r="P528" s="20"/>
    </row>
    <row r="529">
      <c r="A529" s="28"/>
      <c r="B529" s="93"/>
      <c r="C529" s="114" t="str">
        <f t="array" ref="C529">ifs(and(isblank($A529),isblank($B529)),"", not(iserror(vlookup($A529&amp;$B529,'3) Release_Label'!$D:$D&amp;'3) Release_Label'!$E:$E,1,0))),vlookup($A529&amp;$B529,{'3) Release_Label'!$D:$D&amp;'3) Release_Label'!$E:$E,'3) Release_Label'!$F:$F},2,0),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D529" s="114" t="str">
        <f t="array" ref="D529">ifs(and(isblank($A529),isblank($B529)),"", not(iserror(vlookup($A529&amp;$B529,'3) Release_Label'!$D:$D&amp;'3) Release_Label'!$E:$E,1,0))),vlookup($A529&amp;$B529,{'3) Release_Label'!$D:$D&amp;'3) Release_Label'!$E:$E,'3) Release_Label'!$H:$H},2,0),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E529" s="128" t="str">
        <f t="shared" si="3"/>
        <v/>
      </c>
      <c r="G529" s="93"/>
      <c r="H529" s="133"/>
      <c r="J529" s="20"/>
      <c r="K529" s="94"/>
      <c r="L529" s="20"/>
      <c r="N529" s="20"/>
      <c r="O529" s="20"/>
      <c r="P529" s="20"/>
    </row>
    <row r="530">
      <c r="A530" s="28"/>
      <c r="B530" s="93"/>
      <c r="C530" s="114" t="str">
        <f t="array" ref="C530">ifs(and(isblank($A530),isblank($B530)),"", not(iserror(vlookup($A530&amp;$B530,'3) Release_Label'!$D:$D&amp;'3) Release_Label'!$E:$E,1,0))),vlookup($A530&amp;$B530,{'3) Release_Label'!$D:$D&amp;'3) Release_Label'!$E:$E,'3) Release_Label'!$F:$F},2,0),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D530" s="114" t="str">
        <f t="array" ref="D530">ifs(and(isblank($A530),isblank($B530)),"", not(iserror(vlookup($A530&amp;$B530,'3) Release_Label'!$D:$D&amp;'3) Release_Label'!$E:$E,1,0))),vlookup($A530&amp;$B530,{'3) Release_Label'!$D:$D&amp;'3) Release_Label'!$E:$E,'3) Release_Label'!$H:$H},2,0),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E530" s="128" t="str">
        <f t="shared" si="3"/>
        <v/>
      </c>
      <c r="G530" s="93"/>
      <c r="H530" s="133"/>
      <c r="J530" s="20"/>
      <c r="K530" s="94"/>
      <c r="L530" s="20"/>
      <c r="N530" s="20"/>
      <c r="O530" s="20"/>
      <c r="P530" s="20"/>
    </row>
    <row r="531">
      <c r="A531" s="28"/>
      <c r="B531" s="93"/>
      <c r="C531" s="114" t="str">
        <f t="array" ref="C531">ifs(and(isblank($A531),isblank($B531)),"", not(iserror(vlookup($A531&amp;$B531,'3) Release_Label'!$D:$D&amp;'3) Release_Label'!$E:$E,1,0))),vlookup($A531&amp;$B531,{'3) Release_Label'!$D:$D&amp;'3) Release_Label'!$E:$E,'3) Release_Label'!$F:$F},2,0),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D531" s="114" t="str">
        <f t="array" ref="D531">ifs(and(isblank($A531),isblank($B531)),"", not(iserror(vlookup($A531&amp;$B531,'3) Release_Label'!$D:$D&amp;'3) Release_Label'!$E:$E,1,0))),vlookup($A531&amp;$B531,{'3) Release_Label'!$D:$D&amp;'3) Release_Label'!$E:$E,'3) Release_Label'!$H:$H},2,0),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E531" s="128" t="str">
        <f t="shared" si="3"/>
        <v/>
      </c>
      <c r="G531" s="93"/>
      <c r="H531" s="133"/>
      <c r="J531" s="20"/>
      <c r="K531" s="94"/>
      <c r="L531" s="20"/>
      <c r="N531" s="20"/>
      <c r="O531" s="20"/>
      <c r="P531" s="20"/>
    </row>
    <row r="532">
      <c r="A532" s="28"/>
      <c r="B532" s="93"/>
      <c r="C532" s="114" t="str">
        <f t="array" ref="C532">ifs(and(isblank($A532),isblank($B532)),"", not(iserror(vlookup($A532&amp;$B532,'3) Release_Label'!$D:$D&amp;'3) Release_Label'!$E:$E,1,0))),vlookup($A532&amp;$B532,{'3) Release_Label'!$D:$D&amp;'3) Release_Label'!$E:$E,'3) Release_Label'!$F:$F},2,0),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D532" s="114" t="str">
        <f t="array" ref="D532">ifs(and(isblank($A532),isblank($B532)),"", not(iserror(vlookup($A532&amp;$B532,'3) Release_Label'!$D:$D&amp;'3) Release_Label'!$E:$E,1,0))),vlookup($A532&amp;$B532,{'3) Release_Label'!$D:$D&amp;'3) Release_Label'!$E:$E,'3) Release_Label'!$H:$H},2,0),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E532" s="128" t="str">
        <f t="shared" si="3"/>
        <v/>
      </c>
      <c r="G532" s="93"/>
      <c r="H532" s="133"/>
      <c r="J532" s="20"/>
      <c r="K532" s="94"/>
      <c r="L532" s="20"/>
      <c r="N532" s="20"/>
      <c r="O532" s="20"/>
      <c r="P532" s="20"/>
    </row>
    <row r="533">
      <c r="A533" s="28"/>
      <c r="B533" s="93"/>
      <c r="C533" s="114" t="str">
        <f t="array" ref="C533">ifs(and(isblank($A533),isblank($B533)),"", not(iserror(vlookup($A533&amp;$B533,'3) Release_Label'!$D:$D&amp;'3) Release_Label'!$E:$E,1,0))),vlookup($A533&amp;$B533,{'3) Release_Label'!$D:$D&amp;'3) Release_Label'!$E:$E,'3) Release_Label'!$F:$F},2,0),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D533" s="114" t="str">
        <f t="array" ref="D533">ifs(and(isblank($A533),isblank($B533)),"", not(iserror(vlookup($A533&amp;$B533,'3) Release_Label'!$D:$D&amp;'3) Release_Label'!$E:$E,1,0))),vlookup($A533&amp;$B533,{'3) Release_Label'!$D:$D&amp;'3) Release_Label'!$E:$E,'3) Release_Label'!$H:$H},2,0),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E533" s="128" t="str">
        <f t="shared" si="3"/>
        <v/>
      </c>
      <c r="G533" s="93"/>
      <c r="H533" s="133"/>
      <c r="J533" s="20"/>
      <c r="K533" s="94"/>
      <c r="L533" s="20"/>
      <c r="N533" s="20"/>
      <c r="O533" s="20"/>
      <c r="P533" s="20"/>
    </row>
    <row r="534">
      <c r="A534" s="28"/>
      <c r="B534" s="93"/>
      <c r="C534" s="114" t="str">
        <f t="array" ref="C534">ifs(and(isblank($A534),isblank($B534)),"", not(iserror(vlookup($A534&amp;$B534,'3) Release_Label'!$D:$D&amp;'3) Release_Label'!$E:$E,1,0))),vlookup($A534&amp;$B534,{'3) Release_Label'!$D:$D&amp;'3) Release_Label'!$E:$E,'3) Release_Label'!$F:$F},2,0),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D534" s="114" t="str">
        <f t="array" ref="D534">ifs(and(isblank($A534),isblank($B534)),"", not(iserror(vlookup($A534&amp;$B534,'3) Release_Label'!$D:$D&amp;'3) Release_Label'!$E:$E,1,0))),vlookup($A534&amp;$B534,{'3) Release_Label'!$D:$D&amp;'3) Release_Label'!$E:$E,'3) Release_Label'!$H:$H},2,0),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E534" s="128" t="str">
        <f t="shared" si="3"/>
        <v/>
      </c>
      <c r="G534" s="93"/>
      <c r="H534" s="133"/>
      <c r="J534" s="20"/>
      <c r="K534" s="94"/>
      <c r="L534" s="20"/>
      <c r="N534" s="20"/>
      <c r="O534" s="20"/>
      <c r="P534" s="20"/>
    </row>
    <row r="535">
      <c r="A535" s="28"/>
      <c r="B535" s="93"/>
      <c r="C535" s="114" t="str">
        <f t="array" ref="C535">ifs(and(isblank($A535),isblank($B535)),"", not(iserror(vlookup($A535&amp;$B535,'3) Release_Label'!$D:$D&amp;'3) Release_Label'!$E:$E,1,0))),vlookup($A535&amp;$B535,{'3) Release_Label'!$D:$D&amp;'3) Release_Label'!$E:$E,'3) Release_Label'!$F:$F},2,0),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D535" s="114" t="str">
        <f t="array" ref="D535">ifs(and(isblank($A535),isblank($B535)),"", not(iserror(vlookup($A535&amp;$B535,'3) Release_Label'!$D:$D&amp;'3) Release_Label'!$E:$E,1,0))),vlookup($A535&amp;$B535,{'3) Release_Label'!$D:$D&amp;'3) Release_Label'!$E:$E,'3) Release_Label'!$H:$H},2,0),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E535" s="128" t="str">
        <f t="shared" si="3"/>
        <v/>
      </c>
      <c r="G535" s="93"/>
      <c r="H535" s="133"/>
      <c r="J535" s="20"/>
      <c r="K535" s="94"/>
      <c r="L535" s="20"/>
      <c r="N535" s="20"/>
      <c r="O535" s="20"/>
      <c r="P535" s="20"/>
    </row>
    <row r="536">
      <c r="A536" s="28"/>
      <c r="B536" s="93"/>
      <c r="C536" s="114" t="str">
        <f t="array" ref="C536">ifs(and(isblank($A536),isblank($B536)),"", not(iserror(vlookup($A536&amp;$B536,'3) Release_Label'!$D:$D&amp;'3) Release_Label'!$E:$E,1,0))),vlookup($A536&amp;$B536,{'3) Release_Label'!$D:$D&amp;'3) Release_Label'!$E:$E,'3) Release_Label'!$F:$F},2,0),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D536" s="114" t="str">
        <f t="array" ref="D536">ifs(and(isblank($A536),isblank($B536)),"", not(iserror(vlookup($A536&amp;$B536,'3) Release_Label'!$D:$D&amp;'3) Release_Label'!$E:$E,1,0))),vlookup($A536&amp;$B536,{'3) Release_Label'!$D:$D&amp;'3) Release_Label'!$E:$E,'3) Release_Label'!$H:$H},2,0),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E536" s="128" t="str">
        <f t="shared" si="3"/>
        <v/>
      </c>
      <c r="G536" s="93"/>
      <c r="H536" s="133"/>
      <c r="J536" s="20"/>
      <c r="K536" s="94"/>
      <c r="L536" s="20"/>
      <c r="N536" s="20"/>
      <c r="O536" s="20"/>
      <c r="P536" s="20"/>
    </row>
    <row r="537">
      <c r="A537" s="28"/>
      <c r="B537" s="93"/>
      <c r="C537" s="114" t="str">
        <f t="array" ref="C537">ifs(and(isblank($A537),isblank($B537)),"", not(iserror(vlookup($A537&amp;$B537,'3) Release_Label'!$D:$D&amp;'3) Release_Label'!$E:$E,1,0))),vlookup($A537&amp;$B537,{'3) Release_Label'!$D:$D&amp;'3) Release_Label'!$E:$E,'3) Release_Label'!$F:$F},2,0),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D537" s="114" t="str">
        <f t="array" ref="D537">ifs(and(isblank($A537),isblank($B537)),"", not(iserror(vlookup($A537&amp;$B537,'3) Release_Label'!$D:$D&amp;'3) Release_Label'!$E:$E,1,0))),vlookup($A537&amp;$B537,{'3) Release_Label'!$D:$D&amp;'3) Release_Label'!$E:$E,'3) Release_Label'!$H:$H},2,0),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E537" s="128" t="str">
        <f t="shared" si="3"/>
        <v/>
      </c>
      <c r="G537" s="93"/>
      <c r="H537" s="133"/>
      <c r="J537" s="20"/>
      <c r="K537" s="94"/>
      <c r="L537" s="20"/>
      <c r="N537" s="20"/>
      <c r="O537" s="20"/>
      <c r="P537" s="20"/>
    </row>
    <row r="538">
      <c r="A538" s="28"/>
      <c r="B538" s="93"/>
      <c r="C538" s="114" t="str">
        <f t="array" ref="C538">ifs(and(isblank($A538),isblank($B538)),"", not(iserror(vlookup($A538&amp;$B538,'3) Release_Label'!$D:$D&amp;'3) Release_Label'!$E:$E,1,0))),vlookup($A538&amp;$B538,{'3) Release_Label'!$D:$D&amp;'3) Release_Label'!$E:$E,'3) Release_Label'!$F:$F},2,0),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D538" s="114" t="str">
        <f t="array" ref="D538">ifs(and(isblank($A538),isblank($B538)),"", not(iserror(vlookup($A538&amp;$B538,'3) Release_Label'!$D:$D&amp;'3) Release_Label'!$E:$E,1,0))),vlookup($A538&amp;$B538,{'3) Release_Label'!$D:$D&amp;'3) Release_Label'!$E:$E,'3) Release_Label'!$H:$H},2,0),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E538" s="128" t="str">
        <f t="shared" si="3"/>
        <v/>
      </c>
      <c r="G538" s="93"/>
      <c r="H538" s="133"/>
      <c r="J538" s="20"/>
      <c r="K538" s="94"/>
      <c r="L538" s="20"/>
      <c r="N538" s="20"/>
      <c r="O538" s="20"/>
      <c r="P538" s="20"/>
    </row>
    <row r="539">
      <c r="A539" s="28"/>
      <c r="B539" s="93"/>
      <c r="C539" s="114" t="str">
        <f t="array" ref="C539">ifs(and(isblank($A539),isblank($B539)),"", not(iserror(vlookup($A539&amp;$B539,'3) Release_Label'!$D:$D&amp;'3) Release_Label'!$E:$E,1,0))),vlookup($A539&amp;$B539,{'3) Release_Label'!$D:$D&amp;'3) Release_Label'!$E:$E,'3) Release_Label'!$F:$F},2,0),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D539" s="114" t="str">
        <f t="array" ref="D539">ifs(and(isblank($A539),isblank($B539)),"", not(iserror(vlookup($A539&amp;$B539,'3) Release_Label'!$D:$D&amp;'3) Release_Label'!$E:$E,1,0))),vlookup($A539&amp;$B539,{'3) Release_Label'!$D:$D&amp;'3) Release_Label'!$E:$E,'3) Release_Label'!$H:$H},2,0),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E539" s="128" t="str">
        <f t="shared" si="3"/>
        <v/>
      </c>
      <c r="G539" s="93"/>
      <c r="H539" s="133"/>
      <c r="J539" s="20"/>
      <c r="K539" s="94"/>
      <c r="L539" s="20"/>
      <c r="N539" s="20"/>
      <c r="O539" s="20"/>
      <c r="P539" s="20"/>
    </row>
    <row r="540">
      <c r="A540" s="28"/>
      <c r="B540" s="93"/>
      <c r="C540" s="114" t="str">
        <f t="array" ref="C540">ifs(and(isblank($A540),isblank($B540)),"", not(iserror(vlookup($A540&amp;$B540,'3) Release_Label'!$D:$D&amp;'3) Release_Label'!$E:$E,1,0))),vlookup($A540&amp;$B540,{'3) Release_Label'!$D:$D&amp;'3) Release_Label'!$E:$E,'3) Release_Label'!$F:$F},2,0),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D540" s="114" t="str">
        <f t="array" ref="D540">ifs(and(isblank($A540),isblank($B540)),"", not(iserror(vlookup($A540&amp;$B540,'3) Release_Label'!$D:$D&amp;'3) Release_Label'!$E:$E,1,0))),vlookup($A540&amp;$B540,{'3) Release_Label'!$D:$D&amp;'3) Release_Label'!$E:$E,'3) Release_Label'!$H:$H},2,0),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E540" s="128" t="str">
        <f t="shared" si="3"/>
        <v/>
      </c>
      <c r="G540" s="93"/>
      <c r="H540" s="133"/>
      <c r="J540" s="20"/>
      <c r="K540" s="94"/>
      <c r="L540" s="20"/>
      <c r="N540" s="20"/>
      <c r="O540" s="20"/>
      <c r="P540" s="20"/>
    </row>
    <row r="541">
      <c r="A541" s="28"/>
      <c r="B541" s="93"/>
      <c r="C541" s="114" t="str">
        <f t="array" ref="C541">ifs(and(isblank($A541),isblank($B541)),"", not(iserror(vlookup($A541&amp;$B541,'3) Release_Label'!$D:$D&amp;'3) Release_Label'!$E:$E,1,0))),vlookup($A541&amp;$B541,{'3) Release_Label'!$D:$D&amp;'3) Release_Label'!$E:$E,'3) Release_Label'!$F:$F},2,0),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D541" s="114" t="str">
        <f t="array" ref="D541">ifs(and(isblank($A541),isblank($B541)),"", not(iserror(vlookup($A541&amp;$B541,'3) Release_Label'!$D:$D&amp;'3) Release_Label'!$E:$E,1,0))),vlookup($A541&amp;$B541,{'3) Release_Label'!$D:$D&amp;'3) Release_Label'!$E:$E,'3) Release_Label'!$H:$H},2,0),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E541" s="128" t="str">
        <f t="shared" si="3"/>
        <v/>
      </c>
      <c r="G541" s="93"/>
      <c r="H541" s="133"/>
      <c r="J541" s="20"/>
      <c r="K541" s="94"/>
      <c r="L541" s="20"/>
      <c r="N541" s="20"/>
      <c r="O541" s="20"/>
      <c r="P541" s="20"/>
    </row>
    <row r="542">
      <c r="A542" s="28"/>
      <c r="B542" s="93"/>
      <c r="C542" s="114" t="str">
        <f t="array" ref="C542">ifs(and(isblank($A542),isblank($B542)),"", not(iserror(vlookup($A542&amp;$B542,'3) Release_Label'!$D:$D&amp;'3) Release_Label'!$E:$E,1,0))),vlookup($A542&amp;$B542,{'3) Release_Label'!$D:$D&amp;'3) Release_Label'!$E:$E,'3) Release_Label'!$F:$F},2,0),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D542" s="114" t="str">
        <f t="array" ref="D542">ifs(and(isblank($A542),isblank($B542)),"", not(iserror(vlookup($A542&amp;$B542,'3) Release_Label'!$D:$D&amp;'3) Release_Label'!$E:$E,1,0))),vlookup($A542&amp;$B542,{'3) Release_Label'!$D:$D&amp;'3) Release_Label'!$E:$E,'3) Release_Label'!$H:$H},2,0),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E542" s="128" t="str">
        <f t="shared" si="3"/>
        <v/>
      </c>
      <c r="G542" s="93"/>
      <c r="H542" s="133"/>
      <c r="J542" s="20"/>
      <c r="K542" s="94"/>
      <c r="L542" s="20"/>
      <c r="N542" s="20"/>
      <c r="O542" s="20"/>
      <c r="P542" s="20"/>
    </row>
    <row r="543">
      <c r="A543" s="28"/>
      <c r="B543" s="93"/>
      <c r="C543" s="114" t="str">
        <f t="array" ref="C543">ifs(and(isblank($A543),isblank($B543)),"", not(iserror(vlookup($A543&amp;$B543,'3) Release_Label'!$D:$D&amp;'3) Release_Label'!$E:$E,1,0))),vlookup($A543&amp;$B543,{'3) Release_Label'!$D:$D&amp;'3) Release_Label'!$E:$E,'3) Release_Label'!$F:$F},2,0),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D543" s="114" t="str">
        <f t="array" ref="D543">ifs(and(isblank($A543),isblank($B543)),"", not(iserror(vlookup($A543&amp;$B543,'3) Release_Label'!$D:$D&amp;'3) Release_Label'!$E:$E,1,0))),vlookup($A543&amp;$B543,{'3) Release_Label'!$D:$D&amp;'3) Release_Label'!$E:$E,'3) Release_Label'!$H:$H},2,0),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E543" s="128" t="str">
        <f t="shared" si="3"/>
        <v/>
      </c>
      <c r="G543" s="93"/>
      <c r="H543" s="133"/>
      <c r="J543" s="20"/>
      <c r="K543" s="94"/>
      <c r="L543" s="20"/>
      <c r="N543" s="20"/>
      <c r="O543" s="20"/>
      <c r="P543" s="20"/>
    </row>
    <row r="544">
      <c r="A544" s="28"/>
      <c r="B544" s="93"/>
      <c r="C544" s="114" t="str">
        <f t="array" ref="C544">ifs(and(isblank($A544),isblank($B544)),"", not(iserror(vlookup($A544&amp;$B544,'3) Release_Label'!$D:$D&amp;'3) Release_Label'!$E:$E,1,0))),vlookup($A544&amp;$B544,{'3) Release_Label'!$D:$D&amp;'3) Release_Label'!$E:$E,'3) Release_Label'!$F:$F},2,0),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D544" s="114" t="str">
        <f t="array" ref="D544">ifs(and(isblank($A544),isblank($B544)),"", not(iserror(vlookup($A544&amp;$B544,'3) Release_Label'!$D:$D&amp;'3) Release_Label'!$E:$E,1,0))),vlookup($A544&amp;$B544,{'3) Release_Label'!$D:$D&amp;'3) Release_Label'!$E:$E,'3) Release_Label'!$H:$H},2,0),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E544" s="128" t="str">
        <f t="shared" si="3"/>
        <v/>
      </c>
      <c r="G544" s="93"/>
      <c r="H544" s="133"/>
      <c r="J544" s="20"/>
      <c r="K544" s="94"/>
      <c r="L544" s="20"/>
      <c r="N544" s="20"/>
      <c r="O544" s="20"/>
      <c r="P544" s="20"/>
    </row>
    <row r="545">
      <c r="A545" s="28"/>
      <c r="B545" s="93"/>
      <c r="C545" s="114" t="str">
        <f t="array" ref="C545">ifs(and(isblank($A545),isblank($B545)),"", not(iserror(vlookup($A545&amp;$B545,'3) Release_Label'!$D:$D&amp;'3) Release_Label'!$E:$E,1,0))),vlookup($A545&amp;$B545,{'3) Release_Label'!$D:$D&amp;'3) Release_Label'!$E:$E,'3) Release_Label'!$F:$F},2,0),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D545" s="114" t="str">
        <f t="array" ref="D545">ifs(and(isblank($A545),isblank($B545)),"", not(iserror(vlookup($A545&amp;$B545,'3) Release_Label'!$D:$D&amp;'3) Release_Label'!$E:$E,1,0))),vlookup($A545&amp;$B545,{'3) Release_Label'!$D:$D&amp;'3) Release_Label'!$E:$E,'3) Release_Label'!$H:$H},2,0),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E545" s="128" t="str">
        <f t="shared" si="3"/>
        <v/>
      </c>
      <c r="G545" s="93"/>
      <c r="H545" s="133"/>
      <c r="J545" s="20"/>
      <c r="K545" s="94"/>
      <c r="L545" s="20"/>
      <c r="N545" s="20"/>
      <c r="O545" s="20"/>
      <c r="P545" s="20"/>
    </row>
    <row r="546">
      <c r="A546" s="28"/>
      <c r="B546" s="93"/>
      <c r="C546" s="114" t="str">
        <f t="array" ref="C546">ifs(and(isblank($A546),isblank($B546)),"", not(iserror(vlookup($A546&amp;$B546,'3) Release_Label'!$D:$D&amp;'3) Release_Label'!$E:$E,1,0))),vlookup($A546&amp;$B546,{'3) Release_Label'!$D:$D&amp;'3) Release_Label'!$E:$E,'3) Release_Label'!$F:$F},2,0),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D546" s="114" t="str">
        <f t="array" ref="D546">ifs(and(isblank($A546),isblank($B546)),"", not(iserror(vlookup($A546&amp;$B546,'3) Release_Label'!$D:$D&amp;'3) Release_Label'!$E:$E,1,0))),vlookup($A546&amp;$B546,{'3) Release_Label'!$D:$D&amp;'3) Release_Label'!$E:$E,'3) Release_Label'!$H:$H},2,0),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E546" s="128" t="str">
        <f t="shared" si="3"/>
        <v/>
      </c>
      <c r="G546" s="93"/>
      <c r="H546" s="133"/>
      <c r="J546" s="20"/>
      <c r="K546" s="94"/>
      <c r="L546" s="20"/>
      <c r="N546" s="20"/>
      <c r="O546" s="20"/>
      <c r="P546" s="20"/>
    </row>
    <row r="547">
      <c r="A547" s="28"/>
      <c r="B547" s="93"/>
      <c r="C547" s="114" t="str">
        <f t="array" ref="C547">ifs(and(isblank($A547),isblank($B547)),"", not(iserror(vlookup($A547&amp;$B547,'3) Release_Label'!$D:$D&amp;'3) Release_Label'!$E:$E,1,0))),vlookup($A547&amp;$B547,{'3) Release_Label'!$D:$D&amp;'3) Release_Label'!$E:$E,'3) Release_Label'!$F:$F},2,0),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D547" s="114" t="str">
        <f t="array" ref="D547">ifs(and(isblank($A547),isblank($B547)),"", not(iserror(vlookup($A547&amp;$B547,'3) Release_Label'!$D:$D&amp;'3) Release_Label'!$E:$E,1,0))),vlookup($A547&amp;$B547,{'3) Release_Label'!$D:$D&amp;'3) Release_Label'!$E:$E,'3) Release_Label'!$H:$H},2,0),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E547" s="128" t="str">
        <f t="shared" si="3"/>
        <v/>
      </c>
      <c r="G547" s="93"/>
      <c r="H547" s="133"/>
      <c r="J547" s="20"/>
      <c r="K547" s="94"/>
      <c r="L547" s="20"/>
      <c r="N547" s="20"/>
      <c r="O547" s="20"/>
      <c r="P547" s="20"/>
    </row>
    <row r="548">
      <c r="A548" s="28"/>
      <c r="B548" s="93"/>
      <c r="C548" s="114" t="str">
        <f t="array" ref="C548">ifs(and(isblank($A548),isblank($B548)),"", not(iserror(vlookup($A548&amp;$B548,'3) Release_Label'!$D:$D&amp;'3) Release_Label'!$E:$E,1,0))),vlookup($A548&amp;$B548,{'3) Release_Label'!$D:$D&amp;'3) Release_Label'!$E:$E,'3) Release_Label'!$F:$F},2,0),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D548" s="114" t="str">
        <f t="array" ref="D548">ifs(and(isblank($A548),isblank($B548)),"", not(iserror(vlookup($A548&amp;$B548,'3) Release_Label'!$D:$D&amp;'3) Release_Label'!$E:$E,1,0))),vlookup($A548&amp;$B548,{'3) Release_Label'!$D:$D&amp;'3) Release_Label'!$E:$E,'3) Release_Label'!$H:$H},2,0),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E548" s="128" t="str">
        <f t="shared" si="3"/>
        <v/>
      </c>
      <c r="G548" s="93"/>
      <c r="H548" s="133"/>
      <c r="J548" s="20"/>
      <c r="K548" s="94"/>
      <c r="L548" s="20"/>
      <c r="N548" s="20"/>
      <c r="O548" s="20"/>
      <c r="P548" s="20"/>
    </row>
    <row r="549">
      <c r="A549" s="28"/>
      <c r="B549" s="93"/>
      <c r="C549" s="114" t="str">
        <f t="array" ref="C549">ifs(and(isblank($A549),isblank($B549)),"", not(iserror(vlookup($A549&amp;$B549,'3) Release_Label'!$D:$D&amp;'3) Release_Label'!$E:$E,1,0))),vlookup($A549&amp;$B549,{'3) Release_Label'!$D:$D&amp;'3) Release_Label'!$E:$E,'3) Release_Label'!$F:$F},2,0),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D549" s="114" t="str">
        <f t="array" ref="D549">ifs(and(isblank($A549),isblank($B549)),"", not(iserror(vlookup($A549&amp;$B549,'3) Release_Label'!$D:$D&amp;'3) Release_Label'!$E:$E,1,0))),vlookup($A549&amp;$B549,{'3) Release_Label'!$D:$D&amp;'3) Release_Label'!$E:$E,'3) Release_Label'!$H:$H},2,0),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E549" s="128" t="str">
        <f t="shared" si="3"/>
        <v/>
      </c>
      <c r="G549" s="93"/>
      <c r="H549" s="133"/>
      <c r="J549" s="20"/>
      <c r="K549" s="94"/>
      <c r="L549" s="20"/>
      <c r="N549" s="20"/>
      <c r="O549" s="20"/>
      <c r="P549" s="20"/>
    </row>
    <row r="550">
      <c r="A550" s="28"/>
      <c r="B550" s="93"/>
      <c r="C550" s="114" t="str">
        <f t="array" ref="C550">ifs(and(isblank($A550),isblank($B550)),"", not(iserror(vlookup($A550&amp;$B550,'3) Release_Label'!$D:$D&amp;'3) Release_Label'!$E:$E,1,0))),vlookup($A550&amp;$B550,{'3) Release_Label'!$D:$D&amp;'3) Release_Label'!$E:$E,'3) Release_Label'!$F:$F},2,0),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D550" s="114" t="str">
        <f t="array" ref="D550">ifs(and(isblank($A550),isblank($B550)),"", not(iserror(vlookup($A550&amp;$B550,'3) Release_Label'!$D:$D&amp;'3) Release_Label'!$E:$E,1,0))),vlookup($A550&amp;$B550,{'3) Release_Label'!$D:$D&amp;'3) Release_Label'!$E:$E,'3) Release_Label'!$H:$H},2,0),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E550" s="128" t="str">
        <f t="shared" si="3"/>
        <v/>
      </c>
      <c r="G550" s="93"/>
      <c r="H550" s="133"/>
      <c r="J550" s="20"/>
      <c r="K550" s="94"/>
      <c r="L550" s="20"/>
      <c r="N550" s="20"/>
      <c r="O550" s="20"/>
      <c r="P550" s="20"/>
    </row>
    <row r="551">
      <c r="A551" s="28"/>
      <c r="B551" s="93"/>
      <c r="C551" s="114" t="str">
        <f t="array" ref="C551">ifs(and(isblank($A551),isblank($B551)),"", not(iserror(vlookup($A551&amp;$B551,'3) Release_Label'!$D:$D&amp;'3) Release_Label'!$E:$E,1,0))),vlookup($A551&amp;$B551,{'3) Release_Label'!$D:$D&amp;'3) Release_Label'!$E:$E,'3) Release_Label'!$F:$F},2,0),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D551" s="114" t="str">
        <f t="array" ref="D551">ifs(and(isblank($A551),isblank($B551)),"", not(iserror(vlookup($A551&amp;$B551,'3) Release_Label'!$D:$D&amp;'3) Release_Label'!$E:$E,1,0))),vlookup($A551&amp;$B551,{'3) Release_Label'!$D:$D&amp;'3) Release_Label'!$E:$E,'3) Release_Label'!$H:$H},2,0),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E551" s="128" t="str">
        <f t="shared" si="3"/>
        <v/>
      </c>
      <c r="G551" s="93"/>
      <c r="H551" s="133"/>
      <c r="J551" s="20"/>
      <c r="K551" s="94"/>
      <c r="L551" s="20"/>
      <c r="N551" s="20"/>
      <c r="O551" s="20"/>
      <c r="P551" s="20"/>
    </row>
    <row r="552">
      <c r="A552" s="28"/>
      <c r="B552" s="93"/>
      <c r="C552" s="114" t="str">
        <f t="array" ref="C552">ifs(and(isblank($A552),isblank($B552)),"", not(iserror(vlookup($A552&amp;$B552,'3) Release_Label'!$D:$D&amp;'3) Release_Label'!$E:$E,1,0))),vlookup($A552&amp;$B552,{'3) Release_Label'!$D:$D&amp;'3) Release_Label'!$E:$E,'3) Release_Label'!$F:$F},2,0),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D552" s="114" t="str">
        <f t="array" ref="D552">ifs(and(isblank($A552),isblank($B552)),"", not(iserror(vlookup($A552&amp;$B552,'3) Release_Label'!$D:$D&amp;'3) Release_Label'!$E:$E,1,0))),vlookup($A552&amp;$B552,{'3) Release_Label'!$D:$D&amp;'3) Release_Label'!$E:$E,'3) Release_Label'!$H:$H},2,0),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E552" s="128" t="str">
        <f t="shared" si="3"/>
        <v/>
      </c>
      <c r="G552" s="93"/>
      <c r="H552" s="133"/>
      <c r="J552" s="20"/>
      <c r="K552" s="94"/>
      <c r="L552" s="20"/>
      <c r="N552" s="20"/>
      <c r="O552" s="20"/>
      <c r="P552" s="20"/>
    </row>
    <row r="553">
      <c r="A553" s="28"/>
      <c r="B553" s="93"/>
      <c r="C553" s="114" t="str">
        <f t="array" ref="C553">ifs(and(isblank($A553),isblank($B553)),"", not(iserror(vlookup($A553&amp;$B553,'3) Release_Label'!$D:$D&amp;'3) Release_Label'!$E:$E,1,0))),vlookup($A553&amp;$B553,{'3) Release_Label'!$D:$D&amp;'3) Release_Label'!$E:$E,'3) Release_Label'!$F:$F},2,0),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D553" s="114" t="str">
        <f t="array" ref="D553">ifs(and(isblank($A553),isblank($B553)),"", not(iserror(vlookup($A553&amp;$B553,'3) Release_Label'!$D:$D&amp;'3) Release_Label'!$E:$E,1,0))),vlookup($A553&amp;$B553,{'3) Release_Label'!$D:$D&amp;'3) Release_Label'!$E:$E,'3) Release_Label'!$H:$H},2,0),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E553" s="128" t="str">
        <f t="shared" si="3"/>
        <v/>
      </c>
      <c r="G553" s="93"/>
      <c r="H553" s="133"/>
      <c r="J553" s="20"/>
      <c r="K553" s="94"/>
      <c r="L553" s="20"/>
      <c r="N553" s="20"/>
      <c r="O553" s="20"/>
      <c r="P553" s="20"/>
    </row>
    <row r="554">
      <c r="A554" s="28"/>
      <c r="B554" s="93"/>
      <c r="C554" s="114" t="str">
        <f t="array" ref="C554">ifs(and(isblank($A554),isblank($B554)),"", not(iserror(vlookup($A554&amp;$B554,'3) Release_Label'!$D:$D&amp;'3) Release_Label'!$E:$E,1,0))),vlookup($A554&amp;$B554,{'3) Release_Label'!$D:$D&amp;'3) Release_Label'!$E:$E,'3) Release_Label'!$F:$F},2,0),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D554" s="114" t="str">
        <f t="array" ref="D554">ifs(and(isblank($A554),isblank($B554)),"", not(iserror(vlookup($A554&amp;$B554,'3) Release_Label'!$D:$D&amp;'3) Release_Label'!$E:$E,1,0))),vlookup($A554&amp;$B554,{'3) Release_Label'!$D:$D&amp;'3) Release_Label'!$E:$E,'3) Release_Label'!$H:$H},2,0),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E554" s="128" t="str">
        <f t="shared" si="3"/>
        <v/>
      </c>
      <c r="G554" s="93"/>
      <c r="H554" s="133"/>
      <c r="J554" s="20"/>
      <c r="K554" s="94"/>
      <c r="L554" s="20"/>
      <c r="N554" s="20"/>
      <c r="O554" s="20"/>
      <c r="P554" s="20"/>
    </row>
    <row r="555">
      <c r="A555" s="28"/>
      <c r="B555" s="93"/>
      <c r="C555" s="114" t="str">
        <f t="array" ref="C555">ifs(and(isblank($A555),isblank($B555)),"", not(iserror(vlookup($A555&amp;$B555,'3) Release_Label'!$D:$D&amp;'3) Release_Label'!$E:$E,1,0))),vlookup($A555&amp;$B555,{'3) Release_Label'!$D:$D&amp;'3) Release_Label'!$E:$E,'3) Release_Label'!$F:$F},2,0),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D555" s="114" t="str">
        <f t="array" ref="D555">ifs(and(isblank($A555),isblank($B555)),"", not(iserror(vlookup($A555&amp;$B555,'3) Release_Label'!$D:$D&amp;'3) Release_Label'!$E:$E,1,0))),vlookup($A555&amp;$B555,{'3) Release_Label'!$D:$D&amp;'3) Release_Label'!$E:$E,'3) Release_Label'!$H:$H},2,0),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E555" s="128" t="str">
        <f t="shared" si="3"/>
        <v/>
      </c>
      <c r="G555" s="93"/>
      <c r="H555" s="133"/>
      <c r="J555" s="20"/>
      <c r="K555" s="94"/>
      <c r="L555" s="20"/>
      <c r="N555" s="20"/>
      <c r="O555" s="20"/>
      <c r="P555" s="20"/>
    </row>
    <row r="556">
      <c r="A556" s="28"/>
      <c r="B556" s="93"/>
      <c r="C556" s="114" t="str">
        <f t="array" ref="C556">ifs(and(isblank($A556),isblank($B556)),"", not(iserror(vlookup($A556&amp;$B556,'3) Release_Label'!$D:$D&amp;'3) Release_Label'!$E:$E,1,0))),vlookup($A556&amp;$B556,{'3) Release_Label'!$D:$D&amp;'3) Release_Label'!$E:$E,'3) Release_Label'!$F:$F},2,0),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D556" s="114" t="str">
        <f t="array" ref="D556">ifs(and(isblank($A556),isblank($B556)),"", not(iserror(vlookup($A556&amp;$B556,'3) Release_Label'!$D:$D&amp;'3) Release_Label'!$E:$E,1,0))),vlookup($A556&amp;$B556,{'3) Release_Label'!$D:$D&amp;'3) Release_Label'!$E:$E,'3) Release_Label'!$H:$H},2,0),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E556" s="128" t="str">
        <f t="shared" si="3"/>
        <v/>
      </c>
      <c r="G556" s="93"/>
      <c r="H556" s="133"/>
      <c r="J556" s="20"/>
      <c r="K556" s="94"/>
      <c r="L556" s="20"/>
      <c r="N556" s="20"/>
      <c r="O556" s="20"/>
      <c r="P556" s="20"/>
    </row>
    <row r="557">
      <c r="A557" s="28"/>
      <c r="B557" s="93"/>
      <c r="C557" s="114" t="str">
        <f t="array" ref="C557">ifs(and(isblank($A557),isblank($B557)),"", not(iserror(vlookup($A557&amp;$B557,'3) Release_Label'!$D:$D&amp;'3) Release_Label'!$E:$E,1,0))),vlookup($A557&amp;$B557,{'3) Release_Label'!$D:$D&amp;'3) Release_Label'!$E:$E,'3) Release_Label'!$F:$F},2,0),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D557" s="114" t="str">
        <f t="array" ref="D557">ifs(and(isblank($A557),isblank($B557)),"", not(iserror(vlookup($A557&amp;$B557,'3) Release_Label'!$D:$D&amp;'3) Release_Label'!$E:$E,1,0))),vlookup($A557&amp;$B557,{'3) Release_Label'!$D:$D&amp;'3) Release_Label'!$E:$E,'3) Release_Label'!$H:$H},2,0),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E557" s="128" t="str">
        <f t="shared" si="3"/>
        <v/>
      </c>
      <c r="G557" s="93"/>
      <c r="H557" s="133"/>
      <c r="J557" s="20"/>
      <c r="K557" s="94"/>
      <c r="L557" s="20"/>
      <c r="N557" s="20"/>
      <c r="O557" s="20"/>
      <c r="P557" s="20"/>
    </row>
    <row r="558">
      <c r="A558" s="28"/>
      <c r="B558" s="93"/>
      <c r="C558" s="114" t="str">
        <f t="array" ref="C558">ifs(and(isblank($A558),isblank($B558)),"", not(iserror(vlookup($A558&amp;$B558,'3) Release_Label'!$D:$D&amp;'3) Release_Label'!$E:$E,1,0))),vlookup($A558&amp;$B558,{'3) Release_Label'!$D:$D&amp;'3) Release_Label'!$E:$E,'3) Release_Label'!$F:$F},2,0),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D558" s="114" t="str">
        <f t="array" ref="D558">ifs(and(isblank($A558),isblank($B558)),"", not(iserror(vlookup($A558&amp;$B558,'3) Release_Label'!$D:$D&amp;'3) Release_Label'!$E:$E,1,0))),vlookup($A558&amp;$B558,{'3) Release_Label'!$D:$D&amp;'3) Release_Label'!$E:$E,'3) Release_Label'!$H:$H},2,0),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E558" s="128" t="str">
        <f t="shared" si="3"/>
        <v/>
      </c>
      <c r="G558" s="93"/>
      <c r="H558" s="133"/>
      <c r="J558" s="20"/>
      <c r="K558" s="94"/>
      <c r="L558" s="20"/>
      <c r="N558" s="20"/>
      <c r="O558" s="20"/>
      <c r="P558" s="20"/>
    </row>
    <row r="559">
      <c r="A559" s="28"/>
      <c r="B559" s="93"/>
      <c r="C559" s="114" t="str">
        <f t="array" ref="C559">ifs(and(isblank($A559),isblank($B559)),"", not(iserror(vlookup($A559&amp;$B559,'3) Release_Label'!$D:$D&amp;'3) Release_Label'!$E:$E,1,0))),vlookup($A559&amp;$B559,{'3) Release_Label'!$D:$D&amp;'3) Release_Label'!$E:$E,'3) Release_Label'!$F:$F},2,0),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D559" s="114" t="str">
        <f t="array" ref="D559">ifs(and(isblank($A559),isblank($B559)),"", not(iserror(vlookup($A559&amp;$B559,'3) Release_Label'!$D:$D&amp;'3) Release_Label'!$E:$E,1,0))),vlookup($A559&amp;$B559,{'3) Release_Label'!$D:$D&amp;'3) Release_Label'!$E:$E,'3) Release_Label'!$H:$H},2,0),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E559" s="128" t="str">
        <f t="shared" si="3"/>
        <v/>
      </c>
      <c r="G559" s="93"/>
      <c r="H559" s="133"/>
      <c r="J559" s="20"/>
      <c r="K559" s="94"/>
      <c r="L559" s="20"/>
      <c r="N559" s="20"/>
      <c r="O559" s="20"/>
      <c r="P559" s="20"/>
    </row>
    <row r="560">
      <c r="A560" s="28"/>
      <c r="B560" s="93"/>
      <c r="C560" s="114" t="str">
        <f t="array" ref="C560">ifs(and(isblank($A560),isblank($B560)),"", not(iserror(vlookup($A560&amp;$B560,'3) Release_Label'!$D:$D&amp;'3) Release_Label'!$E:$E,1,0))),vlookup($A560&amp;$B560,{'3) Release_Label'!$D:$D&amp;'3) Release_Label'!$E:$E,'3) Release_Label'!$F:$F},2,0),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D560" s="114" t="str">
        <f t="array" ref="D560">ifs(and(isblank($A560),isblank($B560)),"", not(iserror(vlookup($A560&amp;$B560,'3) Release_Label'!$D:$D&amp;'3) Release_Label'!$E:$E,1,0))),vlookup($A560&amp;$B560,{'3) Release_Label'!$D:$D&amp;'3) Release_Label'!$E:$E,'3) Release_Label'!$H:$H},2,0),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E560" s="128" t="str">
        <f t="shared" si="3"/>
        <v/>
      </c>
      <c r="G560" s="93"/>
      <c r="H560" s="133"/>
      <c r="J560" s="20"/>
      <c r="K560" s="94"/>
      <c r="L560" s="20"/>
      <c r="N560" s="20"/>
      <c r="O560" s="20"/>
      <c r="P560" s="20"/>
    </row>
    <row r="561">
      <c r="A561" s="28"/>
      <c r="B561" s="93"/>
      <c r="C561" s="114" t="str">
        <f t="array" ref="C561">ifs(and(isblank($A561),isblank($B561)),"", not(iserror(vlookup($A561&amp;$B561,'3) Release_Label'!$D:$D&amp;'3) Release_Label'!$E:$E,1,0))),vlookup($A561&amp;$B561,{'3) Release_Label'!$D:$D&amp;'3) Release_Label'!$E:$E,'3) Release_Label'!$F:$F},2,0),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D561" s="114" t="str">
        <f t="array" ref="D561">ifs(and(isblank($A561),isblank($B561)),"", not(iserror(vlookup($A561&amp;$B561,'3) Release_Label'!$D:$D&amp;'3) Release_Label'!$E:$E,1,0))),vlookup($A561&amp;$B561,{'3) Release_Label'!$D:$D&amp;'3) Release_Label'!$E:$E,'3) Release_Label'!$H:$H},2,0),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E561" s="128" t="str">
        <f t="shared" si="3"/>
        <v/>
      </c>
      <c r="G561" s="93"/>
      <c r="H561" s="133"/>
      <c r="J561" s="20"/>
      <c r="K561" s="94"/>
      <c r="L561" s="20"/>
      <c r="N561" s="20"/>
      <c r="O561" s="20"/>
      <c r="P561" s="20"/>
    </row>
    <row r="562">
      <c r="A562" s="28"/>
      <c r="B562" s="93"/>
      <c r="C562" s="114" t="str">
        <f t="array" ref="C562">ifs(and(isblank($A562),isblank($B562)),"", not(iserror(vlookup($A562&amp;$B562,'3) Release_Label'!$D:$D&amp;'3) Release_Label'!$E:$E,1,0))),vlookup($A562&amp;$B562,{'3) Release_Label'!$D:$D&amp;'3) Release_Label'!$E:$E,'3) Release_Label'!$F:$F},2,0),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D562" s="114" t="str">
        <f t="array" ref="D562">ifs(and(isblank($A562),isblank($B562)),"", not(iserror(vlookup($A562&amp;$B562,'3) Release_Label'!$D:$D&amp;'3) Release_Label'!$E:$E,1,0))),vlookup($A562&amp;$B562,{'3) Release_Label'!$D:$D&amp;'3) Release_Label'!$E:$E,'3) Release_Label'!$H:$H},2,0),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E562" s="128" t="str">
        <f t="shared" si="3"/>
        <v/>
      </c>
      <c r="G562" s="93"/>
      <c r="H562" s="133"/>
      <c r="J562" s="20"/>
      <c r="K562" s="94"/>
      <c r="L562" s="20"/>
      <c r="N562" s="20"/>
      <c r="O562" s="20"/>
      <c r="P562" s="20"/>
    </row>
    <row r="563">
      <c r="A563" s="28"/>
      <c r="B563" s="93"/>
      <c r="C563" s="114" t="str">
        <f t="array" ref="C563">ifs(and(isblank($A563),isblank($B563)),"", not(iserror(vlookup($A563&amp;$B563,'3) Release_Label'!$D:$D&amp;'3) Release_Label'!$E:$E,1,0))),vlookup($A563&amp;$B563,{'3) Release_Label'!$D:$D&amp;'3) Release_Label'!$E:$E,'3) Release_Label'!$F:$F},2,0),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D563" s="114" t="str">
        <f t="array" ref="D563">ifs(and(isblank($A563),isblank($B563)),"", not(iserror(vlookup($A563&amp;$B563,'3) Release_Label'!$D:$D&amp;'3) Release_Label'!$E:$E,1,0))),vlookup($A563&amp;$B563,{'3) Release_Label'!$D:$D&amp;'3) Release_Label'!$E:$E,'3) Release_Label'!$H:$H},2,0),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E563" s="128" t="str">
        <f t="shared" si="3"/>
        <v/>
      </c>
      <c r="G563" s="93"/>
      <c r="H563" s="133"/>
      <c r="J563" s="20"/>
      <c r="K563" s="94"/>
      <c r="L563" s="20"/>
      <c r="N563" s="20"/>
      <c r="O563" s="20"/>
      <c r="P563" s="20"/>
    </row>
    <row r="564">
      <c r="A564" s="28"/>
      <c r="B564" s="93"/>
      <c r="C564" s="114" t="str">
        <f t="array" ref="C564">ifs(and(isblank($A564),isblank($B564)),"", not(iserror(vlookup($A564&amp;$B564,'3) Release_Label'!$D:$D&amp;'3) Release_Label'!$E:$E,1,0))),vlookup($A564&amp;$B564,{'3) Release_Label'!$D:$D&amp;'3) Release_Label'!$E:$E,'3) Release_Label'!$F:$F},2,0),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D564" s="114" t="str">
        <f t="array" ref="D564">ifs(and(isblank($A564),isblank($B564)),"", not(iserror(vlookup($A564&amp;$B564,'3) Release_Label'!$D:$D&amp;'3) Release_Label'!$E:$E,1,0))),vlookup($A564&amp;$B564,{'3) Release_Label'!$D:$D&amp;'3) Release_Label'!$E:$E,'3) Release_Label'!$H:$H},2,0),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E564" s="128" t="str">
        <f t="shared" si="3"/>
        <v/>
      </c>
      <c r="G564" s="93"/>
      <c r="H564" s="133"/>
      <c r="J564" s="20"/>
      <c r="K564" s="94"/>
      <c r="L564" s="20"/>
      <c r="N564" s="20"/>
      <c r="O564" s="20"/>
      <c r="P564" s="20"/>
    </row>
    <row r="565">
      <c r="A565" s="28"/>
      <c r="B565" s="93"/>
      <c r="C565" s="114" t="str">
        <f t="array" ref="C565">ifs(and(isblank($A565),isblank($B565)),"", not(iserror(vlookup($A565&amp;$B565,'3) Release_Label'!$D:$D&amp;'3) Release_Label'!$E:$E,1,0))),vlookup($A565&amp;$B565,{'3) Release_Label'!$D:$D&amp;'3) Release_Label'!$E:$E,'3) Release_Label'!$F:$F},2,0),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D565" s="114" t="str">
        <f t="array" ref="D565">ifs(and(isblank($A565),isblank($B565)),"", not(iserror(vlookup($A565&amp;$B565,'3) Release_Label'!$D:$D&amp;'3) Release_Label'!$E:$E,1,0))),vlookup($A565&amp;$B565,{'3) Release_Label'!$D:$D&amp;'3) Release_Label'!$E:$E,'3) Release_Label'!$H:$H},2,0),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E565" s="128" t="str">
        <f t="shared" si="3"/>
        <v/>
      </c>
      <c r="G565" s="93"/>
      <c r="H565" s="133"/>
      <c r="J565" s="20"/>
      <c r="K565" s="94"/>
      <c r="L565" s="20"/>
      <c r="N565" s="20"/>
      <c r="O565" s="20"/>
      <c r="P565" s="20"/>
    </row>
    <row r="566">
      <c r="A566" s="28"/>
      <c r="B566" s="93"/>
      <c r="C566" s="114" t="str">
        <f t="array" ref="C566">ifs(and(isblank($A566),isblank($B566)),"", not(iserror(vlookup($A566&amp;$B566,'3) Release_Label'!$D:$D&amp;'3) Release_Label'!$E:$E,1,0))),vlookup($A566&amp;$B566,{'3) Release_Label'!$D:$D&amp;'3) Release_Label'!$E:$E,'3) Release_Label'!$F:$F},2,0),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D566" s="114" t="str">
        <f t="array" ref="D566">ifs(and(isblank($A566),isblank($B566)),"", not(iserror(vlookup($A566&amp;$B566,'3) Release_Label'!$D:$D&amp;'3) Release_Label'!$E:$E,1,0))),vlookup($A566&amp;$B566,{'3) Release_Label'!$D:$D&amp;'3) Release_Label'!$E:$E,'3) Release_Label'!$H:$H},2,0),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E566" s="128" t="str">
        <f t="shared" si="3"/>
        <v/>
      </c>
      <c r="G566" s="93"/>
      <c r="H566" s="133"/>
      <c r="J566" s="20"/>
      <c r="K566" s="94"/>
      <c r="L566" s="20"/>
      <c r="N566" s="20"/>
      <c r="O566" s="20"/>
      <c r="P566" s="20"/>
    </row>
    <row r="567">
      <c r="A567" s="28"/>
      <c r="B567" s="93"/>
      <c r="C567" s="114" t="str">
        <f t="array" ref="C567">ifs(and(isblank($A567),isblank($B567)),"", not(iserror(vlookup($A567&amp;$B567,'3) Release_Label'!$D:$D&amp;'3) Release_Label'!$E:$E,1,0))),vlookup($A567&amp;$B567,{'3) Release_Label'!$D:$D&amp;'3) Release_Label'!$E:$E,'3) Release_Label'!$F:$F},2,0),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D567" s="114" t="str">
        <f t="array" ref="D567">ifs(and(isblank($A567),isblank($B567)),"", not(iserror(vlookup($A567&amp;$B567,'3) Release_Label'!$D:$D&amp;'3) Release_Label'!$E:$E,1,0))),vlookup($A567&amp;$B567,{'3) Release_Label'!$D:$D&amp;'3) Release_Label'!$E:$E,'3) Release_Label'!$H:$H},2,0),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E567" s="128" t="str">
        <f t="shared" si="3"/>
        <v/>
      </c>
      <c r="G567" s="93"/>
      <c r="H567" s="133"/>
      <c r="J567" s="20"/>
      <c r="K567" s="94"/>
      <c r="L567" s="20"/>
      <c r="N567" s="20"/>
      <c r="O567" s="20"/>
      <c r="P567" s="20"/>
    </row>
    <row r="568">
      <c r="A568" s="28"/>
      <c r="B568" s="93"/>
      <c r="C568" s="114" t="str">
        <f t="array" ref="C568">ifs(and(isblank($A568),isblank($B568)),"", not(iserror(vlookup($A568&amp;$B568,'3) Release_Label'!$D:$D&amp;'3) Release_Label'!$E:$E,1,0))),vlookup($A568&amp;$B568,{'3) Release_Label'!$D:$D&amp;'3) Release_Label'!$E:$E,'3) Release_Label'!$F:$F},2,0),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D568" s="114" t="str">
        <f t="array" ref="D568">ifs(and(isblank($A568),isblank($B568)),"", not(iserror(vlookup($A568&amp;$B568,'3) Release_Label'!$D:$D&amp;'3) Release_Label'!$E:$E,1,0))),vlookup($A568&amp;$B568,{'3) Release_Label'!$D:$D&amp;'3) Release_Label'!$E:$E,'3) Release_Label'!$H:$H},2,0),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E568" s="128" t="str">
        <f t="shared" si="3"/>
        <v/>
      </c>
      <c r="G568" s="93"/>
      <c r="H568" s="133"/>
      <c r="J568" s="20"/>
      <c r="K568" s="94"/>
      <c r="L568" s="20"/>
      <c r="N568" s="20"/>
      <c r="O568" s="20"/>
      <c r="P568" s="20"/>
    </row>
    <row r="569">
      <c r="A569" s="28"/>
      <c r="B569" s="93"/>
      <c r="C569" s="114" t="str">
        <f t="array" ref="C569">ifs(and(isblank($A569),isblank($B569)),"", not(iserror(vlookup($A569&amp;$B569,'3) Release_Label'!$D:$D&amp;'3) Release_Label'!$E:$E,1,0))),vlookup($A569&amp;$B569,{'3) Release_Label'!$D:$D&amp;'3) Release_Label'!$E:$E,'3) Release_Label'!$F:$F},2,0),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D569" s="114" t="str">
        <f t="array" ref="D569">ifs(and(isblank($A569),isblank($B569)),"", not(iserror(vlookup($A569&amp;$B569,'3) Release_Label'!$D:$D&amp;'3) Release_Label'!$E:$E,1,0))),vlookup($A569&amp;$B569,{'3) Release_Label'!$D:$D&amp;'3) Release_Label'!$E:$E,'3) Release_Label'!$H:$H},2,0),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E569" s="128" t="str">
        <f t="shared" si="3"/>
        <v/>
      </c>
      <c r="G569" s="93"/>
      <c r="H569" s="133"/>
      <c r="J569" s="20"/>
      <c r="K569" s="94"/>
      <c r="L569" s="20"/>
      <c r="N569" s="20"/>
      <c r="O569" s="20"/>
      <c r="P569" s="20"/>
    </row>
    <row r="570">
      <c r="A570" s="28"/>
      <c r="B570" s="93"/>
      <c r="C570" s="114" t="str">
        <f t="array" ref="C570">ifs(and(isblank($A570),isblank($B570)),"", not(iserror(vlookup($A570&amp;$B570,'3) Release_Label'!$D:$D&amp;'3) Release_Label'!$E:$E,1,0))),vlookup($A570&amp;$B570,{'3) Release_Label'!$D:$D&amp;'3) Release_Label'!$E:$E,'3) Release_Label'!$F:$F},2,0),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D570" s="114" t="str">
        <f t="array" ref="D570">ifs(and(isblank($A570),isblank($B570)),"", not(iserror(vlookup($A570&amp;$B570,'3) Release_Label'!$D:$D&amp;'3) Release_Label'!$E:$E,1,0))),vlookup($A570&amp;$B570,{'3) Release_Label'!$D:$D&amp;'3) Release_Label'!$E:$E,'3) Release_Label'!$H:$H},2,0),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E570" s="128" t="str">
        <f t="shared" si="3"/>
        <v/>
      </c>
      <c r="G570" s="93"/>
      <c r="H570" s="133"/>
      <c r="J570" s="20"/>
      <c r="K570" s="94"/>
      <c r="L570" s="20"/>
      <c r="N570" s="20"/>
      <c r="O570" s="20"/>
      <c r="P570" s="20"/>
    </row>
    <row r="571">
      <c r="A571" s="28"/>
      <c r="B571" s="93"/>
      <c r="C571" s="114" t="str">
        <f t="array" ref="C571">ifs(and(isblank($A571),isblank($B571)),"", not(iserror(vlookup($A571&amp;$B571,'3) Release_Label'!$D:$D&amp;'3) Release_Label'!$E:$E,1,0))),vlookup($A571&amp;$B571,{'3) Release_Label'!$D:$D&amp;'3) Release_Label'!$E:$E,'3) Release_Label'!$F:$F},2,0),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D571" s="114" t="str">
        <f t="array" ref="D571">ifs(and(isblank($A571),isblank($B571)),"", not(iserror(vlookup($A571&amp;$B571,'3) Release_Label'!$D:$D&amp;'3) Release_Label'!$E:$E,1,0))),vlookup($A571&amp;$B571,{'3) Release_Label'!$D:$D&amp;'3) Release_Label'!$E:$E,'3) Release_Label'!$H:$H},2,0),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E571" s="128" t="str">
        <f t="shared" si="3"/>
        <v/>
      </c>
      <c r="G571" s="93"/>
      <c r="H571" s="133"/>
      <c r="J571" s="20"/>
      <c r="K571" s="94"/>
      <c r="L571" s="20"/>
      <c r="N571" s="20"/>
      <c r="O571" s="20"/>
      <c r="P571" s="20"/>
    </row>
    <row r="572">
      <c r="A572" s="28"/>
      <c r="B572" s="93"/>
      <c r="C572" s="114" t="str">
        <f t="array" ref="C572">ifs(and(isblank($A572),isblank($B572)),"", not(iserror(vlookup($A572&amp;$B572,'3) Release_Label'!$D:$D&amp;'3) Release_Label'!$E:$E,1,0))),vlookup($A572&amp;$B572,{'3) Release_Label'!$D:$D&amp;'3) Release_Label'!$E:$E,'3) Release_Label'!$F:$F},2,0),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D572" s="114" t="str">
        <f t="array" ref="D572">ifs(and(isblank($A572),isblank($B572)),"", not(iserror(vlookup($A572&amp;$B572,'3) Release_Label'!$D:$D&amp;'3) Release_Label'!$E:$E,1,0))),vlookup($A572&amp;$B572,{'3) Release_Label'!$D:$D&amp;'3) Release_Label'!$E:$E,'3) Release_Label'!$H:$H},2,0),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E572" s="128" t="str">
        <f t="shared" si="3"/>
        <v/>
      </c>
      <c r="G572" s="93"/>
      <c r="H572" s="133"/>
      <c r="J572" s="20"/>
      <c r="K572" s="94"/>
      <c r="L572" s="20"/>
      <c r="N572" s="20"/>
      <c r="O572" s="20"/>
      <c r="P572" s="20"/>
    </row>
    <row r="573">
      <c r="A573" s="28"/>
      <c r="B573" s="93"/>
      <c r="C573" s="114" t="str">
        <f t="array" ref="C573">ifs(and(isblank($A573),isblank($B573)),"", not(iserror(vlookup($A573&amp;$B573,'3) Release_Label'!$D:$D&amp;'3) Release_Label'!$E:$E,1,0))),vlookup($A573&amp;$B573,{'3) Release_Label'!$D:$D&amp;'3) Release_Label'!$E:$E,'3) Release_Label'!$F:$F},2,0),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D573" s="114" t="str">
        <f t="array" ref="D573">ifs(and(isblank($A573),isblank($B573)),"", not(iserror(vlookup($A573&amp;$B573,'3) Release_Label'!$D:$D&amp;'3) Release_Label'!$E:$E,1,0))),vlookup($A573&amp;$B573,{'3) Release_Label'!$D:$D&amp;'3) Release_Label'!$E:$E,'3) Release_Label'!$H:$H},2,0),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E573" s="128" t="str">
        <f t="shared" si="3"/>
        <v/>
      </c>
      <c r="G573" s="93"/>
      <c r="H573" s="133"/>
      <c r="J573" s="20"/>
      <c r="K573" s="94"/>
      <c r="L573" s="20"/>
      <c r="N573" s="20"/>
      <c r="O573" s="20"/>
      <c r="P573" s="20"/>
    </row>
    <row r="574">
      <c r="A574" s="28"/>
      <c r="B574" s="93"/>
      <c r="C574" s="114" t="str">
        <f t="array" ref="C574">ifs(and(isblank($A574),isblank($B574)),"", not(iserror(vlookup($A574&amp;$B574,'3) Release_Label'!$D:$D&amp;'3) Release_Label'!$E:$E,1,0))),vlookup($A574&amp;$B574,{'3) Release_Label'!$D:$D&amp;'3) Release_Label'!$E:$E,'3) Release_Label'!$F:$F},2,0),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D574" s="114" t="str">
        <f t="array" ref="D574">ifs(and(isblank($A574),isblank($B574)),"", not(iserror(vlookup($A574&amp;$B574,'3) Release_Label'!$D:$D&amp;'3) Release_Label'!$E:$E,1,0))),vlookup($A574&amp;$B574,{'3) Release_Label'!$D:$D&amp;'3) Release_Label'!$E:$E,'3) Release_Label'!$H:$H},2,0),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E574" s="128" t="str">
        <f t="shared" si="3"/>
        <v/>
      </c>
      <c r="G574" s="93"/>
      <c r="H574" s="133"/>
      <c r="J574" s="20"/>
      <c r="K574" s="94"/>
      <c r="L574" s="20"/>
      <c r="N574" s="20"/>
      <c r="O574" s="20"/>
      <c r="P574" s="20"/>
    </row>
    <row r="575">
      <c r="A575" s="28"/>
      <c r="B575" s="93"/>
      <c r="C575" s="114" t="str">
        <f t="array" ref="C575">ifs(and(isblank($A575),isblank($B575)),"", not(iserror(vlookup($A575&amp;$B575,'3) Release_Label'!$D:$D&amp;'3) Release_Label'!$E:$E,1,0))),vlookup($A575&amp;$B575,{'3) Release_Label'!$D:$D&amp;'3) Release_Label'!$E:$E,'3) Release_Label'!$F:$F},2,0),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D575" s="114" t="str">
        <f t="array" ref="D575">ifs(and(isblank($A575),isblank($B575)),"", not(iserror(vlookup($A575&amp;$B575,'3) Release_Label'!$D:$D&amp;'3) Release_Label'!$E:$E,1,0))),vlookup($A575&amp;$B575,{'3) Release_Label'!$D:$D&amp;'3) Release_Label'!$E:$E,'3) Release_Label'!$H:$H},2,0),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E575" s="128" t="str">
        <f t="shared" si="3"/>
        <v/>
      </c>
      <c r="G575" s="93"/>
      <c r="H575" s="133"/>
      <c r="J575" s="20"/>
      <c r="K575" s="94"/>
      <c r="L575" s="20"/>
      <c r="N575" s="20"/>
      <c r="O575" s="20"/>
      <c r="P575" s="20"/>
    </row>
    <row r="576">
      <c r="A576" s="28"/>
      <c r="B576" s="93"/>
      <c r="C576" s="114" t="str">
        <f t="array" ref="C576">ifs(and(isblank($A576),isblank($B576)),"", not(iserror(vlookup($A576&amp;$B576,'3) Release_Label'!$D:$D&amp;'3) Release_Label'!$E:$E,1,0))),vlookup($A576&amp;$B576,{'3) Release_Label'!$D:$D&amp;'3) Release_Label'!$E:$E,'3) Release_Label'!$F:$F},2,0),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D576" s="114" t="str">
        <f t="array" ref="D576">ifs(and(isblank($A576),isblank($B576)),"", not(iserror(vlookup($A576&amp;$B576,'3) Release_Label'!$D:$D&amp;'3) Release_Label'!$E:$E,1,0))),vlookup($A576&amp;$B576,{'3) Release_Label'!$D:$D&amp;'3) Release_Label'!$E:$E,'3) Release_Label'!$H:$H},2,0),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E576" s="128" t="str">
        <f t="shared" si="3"/>
        <v/>
      </c>
      <c r="G576" s="93"/>
      <c r="H576" s="133"/>
      <c r="J576" s="20"/>
      <c r="K576" s="94"/>
      <c r="L576" s="20"/>
      <c r="N576" s="20"/>
      <c r="O576" s="20"/>
      <c r="P576" s="20"/>
    </row>
    <row r="577">
      <c r="A577" s="28"/>
      <c r="B577" s="93"/>
      <c r="C577" s="114" t="str">
        <f t="array" ref="C577">ifs(and(isblank($A577),isblank($B577)),"", not(iserror(vlookup($A577&amp;$B577,'3) Release_Label'!$D:$D&amp;'3) Release_Label'!$E:$E,1,0))),vlookup($A577&amp;$B577,{'3) Release_Label'!$D:$D&amp;'3) Release_Label'!$E:$E,'3) Release_Label'!$F:$F},2,0),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D577" s="114" t="str">
        <f t="array" ref="D577">ifs(and(isblank($A577),isblank($B577)),"", not(iserror(vlookup($A577&amp;$B577,'3) Release_Label'!$D:$D&amp;'3) Release_Label'!$E:$E,1,0))),vlookup($A577&amp;$B577,{'3) Release_Label'!$D:$D&amp;'3) Release_Label'!$E:$E,'3) Release_Label'!$H:$H},2,0),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E577" s="128" t="str">
        <f t="shared" si="3"/>
        <v/>
      </c>
      <c r="G577" s="93"/>
      <c r="H577" s="133"/>
      <c r="J577" s="20"/>
      <c r="K577" s="94"/>
      <c r="L577" s="20"/>
      <c r="N577" s="20"/>
      <c r="O577" s="20"/>
      <c r="P577" s="20"/>
    </row>
    <row r="578">
      <c r="A578" s="28"/>
      <c r="B578" s="93"/>
      <c r="C578" s="114" t="str">
        <f t="array" ref="C578">ifs(and(isblank($A578),isblank($B578)),"", not(iserror(vlookup($A578&amp;$B578,'3) Release_Label'!$D:$D&amp;'3) Release_Label'!$E:$E,1,0))),vlookup($A578&amp;$B578,{'3) Release_Label'!$D:$D&amp;'3) Release_Label'!$E:$E,'3) Release_Label'!$F:$F},2,0),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D578" s="114" t="str">
        <f t="array" ref="D578">ifs(and(isblank($A578),isblank($B578)),"", not(iserror(vlookup($A578&amp;$B578,'3) Release_Label'!$D:$D&amp;'3) Release_Label'!$E:$E,1,0))),vlookup($A578&amp;$B578,{'3) Release_Label'!$D:$D&amp;'3) Release_Label'!$E:$E,'3) Release_Label'!$H:$H},2,0),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E578" s="128" t="str">
        <f t="shared" si="3"/>
        <v/>
      </c>
      <c r="G578" s="93"/>
      <c r="H578" s="133"/>
      <c r="J578" s="20"/>
      <c r="K578" s="94"/>
      <c r="L578" s="20"/>
      <c r="N578" s="20"/>
      <c r="O578" s="20"/>
      <c r="P578" s="20"/>
    </row>
    <row r="579">
      <c r="A579" s="28"/>
      <c r="B579" s="93"/>
      <c r="C579" s="114" t="str">
        <f t="array" ref="C579">ifs(and(isblank($A579),isblank($B579)),"", not(iserror(vlookup($A579&amp;$B579,'3) Release_Label'!$D:$D&amp;'3) Release_Label'!$E:$E,1,0))),vlookup($A579&amp;$B579,{'3) Release_Label'!$D:$D&amp;'3) Release_Label'!$E:$E,'3) Release_Label'!$F:$F},2,0),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D579" s="114" t="str">
        <f t="array" ref="D579">ifs(and(isblank($A579),isblank($B579)),"", not(iserror(vlookup($A579&amp;$B579,'3) Release_Label'!$D:$D&amp;'3) Release_Label'!$E:$E,1,0))),vlookup($A579&amp;$B579,{'3) Release_Label'!$D:$D&amp;'3) Release_Label'!$E:$E,'3) Release_Label'!$H:$H},2,0),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E579" s="128" t="str">
        <f t="shared" si="3"/>
        <v/>
      </c>
      <c r="G579" s="93"/>
      <c r="H579" s="133"/>
      <c r="J579" s="20"/>
      <c r="K579" s="94"/>
      <c r="L579" s="20"/>
      <c r="N579" s="20"/>
      <c r="O579" s="20"/>
      <c r="P579" s="20"/>
    </row>
    <row r="580">
      <c r="A580" s="28"/>
      <c r="B580" s="93"/>
      <c r="C580" s="114" t="str">
        <f t="array" ref="C580">ifs(and(isblank($A580),isblank($B580)),"", not(iserror(vlookup($A580&amp;$B580,'3) Release_Label'!$D:$D&amp;'3) Release_Label'!$E:$E,1,0))),vlookup($A580&amp;$B580,{'3) Release_Label'!$D:$D&amp;'3) Release_Label'!$E:$E,'3) Release_Label'!$F:$F},2,0),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D580" s="114" t="str">
        <f t="array" ref="D580">ifs(and(isblank($A580),isblank($B580)),"", not(iserror(vlookup($A580&amp;$B580,'3) Release_Label'!$D:$D&amp;'3) Release_Label'!$E:$E,1,0))),vlookup($A580&amp;$B580,{'3) Release_Label'!$D:$D&amp;'3) Release_Label'!$E:$E,'3) Release_Label'!$H:$H},2,0),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E580" s="128" t="str">
        <f t="shared" si="3"/>
        <v/>
      </c>
      <c r="G580" s="93"/>
      <c r="H580" s="133"/>
      <c r="J580" s="20"/>
      <c r="K580" s="94"/>
      <c r="L580" s="20"/>
      <c r="N580" s="20"/>
      <c r="O580" s="20"/>
      <c r="P580" s="20"/>
    </row>
    <row r="581">
      <c r="A581" s="28"/>
      <c r="B581" s="93"/>
      <c r="C581" s="114" t="str">
        <f t="array" ref="C581">ifs(and(isblank($A581),isblank($B581)),"", not(iserror(vlookup($A581&amp;$B581,'3) Release_Label'!$D:$D&amp;'3) Release_Label'!$E:$E,1,0))),vlookup($A581&amp;$B581,{'3) Release_Label'!$D:$D&amp;'3) Release_Label'!$E:$E,'3) Release_Label'!$F:$F},2,0),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D581" s="114" t="str">
        <f t="array" ref="D581">ifs(and(isblank($A581),isblank($B581)),"", not(iserror(vlookup($A581&amp;$B581,'3) Release_Label'!$D:$D&amp;'3) Release_Label'!$E:$E,1,0))),vlookup($A581&amp;$B581,{'3) Release_Label'!$D:$D&amp;'3) Release_Label'!$E:$E,'3) Release_Label'!$H:$H},2,0),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E581" s="128" t="str">
        <f t="shared" si="3"/>
        <v/>
      </c>
      <c r="G581" s="93"/>
      <c r="H581" s="133"/>
      <c r="J581" s="20"/>
      <c r="K581" s="94"/>
      <c r="L581" s="20"/>
      <c r="N581" s="20"/>
      <c r="O581" s="20"/>
      <c r="P581" s="20"/>
    </row>
    <row r="582">
      <c r="A582" s="28"/>
      <c r="B582" s="93"/>
      <c r="C582" s="114" t="str">
        <f t="array" ref="C582">ifs(and(isblank($A582),isblank($B582)),"", not(iserror(vlookup($A582&amp;$B582,'3) Release_Label'!$D:$D&amp;'3) Release_Label'!$E:$E,1,0))),vlookup($A582&amp;$B582,{'3) Release_Label'!$D:$D&amp;'3) Release_Label'!$E:$E,'3) Release_Label'!$F:$F},2,0),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D582" s="114" t="str">
        <f t="array" ref="D582">ifs(and(isblank($A582),isblank($B582)),"", not(iserror(vlookup($A582&amp;$B582,'3) Release_Label'!$D:$D&amp;'3) Release_Label'!$E:$E,1,0))),vlookup($A582&amp;$B582,{'3) Release_Label'!$D:$D&amp;'3) Release_Label'!$E:$E,'3) Release_Label'!$H:$H},2,0),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E582" s="128" t="str">
        <f t="shared" si="3"/>
        <v/>
      </c>
      <c r="G582" s="93"/>
      <c r="H582" s="133"/>
      <c r="J582" s="20"/>
      <c r="K582" s="94"/>
      <c r="L582" s="20"/>
      <c r="N582" s="20"/>
      <c r="O582" s="20"/>
      <c r="P582" s="20"/>
    </row>
    <row r="583">
      <c r="A583" s="28"/>
      <c r="B583" s="93"/>
      <c r="C583" s="114" t="str">
        <f t="array" ref="C583">ifs(and(isblank($A583),isblank($B583)),"", not(iserror(vlookup($A583&amp;$B583,'3) Release_Label'!$D:$D&amp;'3) Release_Label'!$E:$E,1,0))),vlookup($A583&amp;$B583,{'3) Release_Label'!$D:$D&amp;'3) Release_Label'!$E:$E,'3) Release_Label'!$F:$F},2,0),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D583" s="114" t="str">
        <f t="array" ref="D583">ifs(and(isblank($A583),isblank($B583)),"", not(iserror(vlookup($A583&amp;$B583,'3) Release_Label'!$D:$D&amp;'3) Release_Label'!$E:$E,1,0))),vlookup($A583&amp;$B583,{'3) Release_Label'!$D:$D&amp;'3) Release_Label'!$E:$E,'3) Release_Label'!$H:$H},2,0),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E583" s="128" t="str">
        <f t="shared" si="3"/>
        <v/>
      </c>
      <c r="G583" s="93"/>
      <c r="H583" s="133"/>
      <c r="J583" s="20"/>
      <c r="K583" s="94"/>
      <c r="L583" s="20"/>
      <c r="N583" s="20"/>
      <c r="O583" s="20"/>
      <c r="P583" s="20"/>
    </row>
    <row r="584">
      <c r="A584" s="28"/>
      <c r="B584" s="93"/>
      <c r="C584" s="114" t="str">
        <f t="array" ref="C584">ifs(and(isblank($A584),isblank($B584)),"", not(iserror(vlookup($A584&amp;$B584,'3) Release_Label'!$D:$D&amp;'3) Release_Label'!$E:$E,1,0))),vlookup($A584&amp;$B584,{'3) Release_Label'!$D:$D&amp;'3) Release_Label'!$E:$E,'3) Release_Label'!$F:$F},2,0),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D584" s="114" t="str">
        <f t="array" ref="D584">ifs(and(isblank($A584),isblank($B584)),"", not(iserror(vlookup($A584&amp;$B584,'3) Release_Label'!$D:$D&amp;'3) Release_Label'!$E:$E,1,0))),vlookup($A584&amp;$B584,{'3) Release_Label'!$D:$D&amp;'3) Release_Label'!$E:$E,'3) Release_Label'!$H:$H},2,0),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E584" s="128" t="str">
        <f t="shared" si="3"/>
        <v/>
      </c>
      <c r="G584" s="93"/>
      <c r="H584" s="133"/>
      <c r="J584" s="20"/>
      <c r="K584" s="94"/>
      <c r="L584" s="20"/>
      <c r="N584" s="20"/>
      <c r="O584" s="20"/>
      <c r="P584" s="20"/>
    </row>
    <row r="585">
      <c r="A585" s="28"/>
      <c r="B585" s="93"/>
      <c r="C585" s="114" t="str">
        <f t="array" ref="C585">ifs(and(isblank($A585),isblank($B585)),"", not(iserror(vlookup($A585&amp;$B585,'3) Release_Label'!$D:$D&amp;'3) Release_Label'!$E:$E,1,0))),vlookup($A585&amp;$B585,{'3) Release_Label'!$D:$D&amp;'3) Release_Label'!$E:$E,'3) Release_Label'!$F:$F},2,0),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D585" s="114" t="str">
        <f t="array" ref="D585">ifs(and(isblank($A585),isblank($B585)),"", not(iserror(vlookup($A585&amp;$B585,'3) Release_Label'!$D:$D&amp;'3) Release_Label'!$E:$E,1,0))),vlookup($A585&amp;$B585,{'3) Release_Label'!$D:$D&amp;'3) Release_Label'!$E:$E,'3) Release_Label'!$H:$H},2,0),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E585" s="128" t="str">
        <f t="shared" si="3"/>
        <v/>
      </c>
      <c r="G585" s="93"/>
      <c r="H585" s="133"/>
      <c r="J585" s="20"/>
      <c r="K585" s="94"/>
      <c r="L585" s="20"/>
      <c r="N585" s="20"/>
      <c r="O585" s="20"/>
      <c r="P585" s="20"/>
    </row>
    <row r="586">
      <c r="A586" s="28"/>
      <c r="B586" s="93"/>
      <c r="C586" s="114" t="str">
        <f t="array" ref="C586">ifs(and(isblank($A586),isblank($B586)),"", not(iserror(vlookup($A586&amp;$B586,'3) Release_Label'!$D:$D&amp;'3) Release_Label'!$E:$E,1,0))),vlookup($A586&amp;$B586,{'3) Release_Label'!$D:$D&amp;'3) Release_Label'!$E:$E,'3) Release_Label'!$F:$F},2,0),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D586" s="114" t="str">
        <f t="array" ref="D586">ifs(and(isblank($A586),isblank($B586)),"", not(iserror(vlookup($A586&amp;$B586,'3) Release_Label'!$D:$D&amp;'3) Release_Label'!$E:$E,1,0))),vlookup($A586&amp;$B586,{'3) Release_Label'!$D:$D&amp;'3) Release_Label'!$E:$E,'3) Release_Label'!$H:$H},2,0),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E586" s="128" t="str">
        <f t="shared" si="3"/>
        <v/>
      </c>
      <c r="G586" s="93"/>
      <c r="H586" s="133"/>
      <c r="J586" s="20"/>
      <c r="K586" s="94"/>
      <c r="L586" s="20"/>
      <c r="N586" s="20"/>
      <c r="O586" s="20"/>
      <c r="P586" s="20"/>
    </row>
    <row r="587">
      <c r="A587" s="28"/>
      <c r="B587" s="93"/>
      <c r="C587" s="114" t="str">
        <f t="array" ref="C587">ifs(and(isblank($A587),isblank($B587)),"", not(iserror(vlookup($A587&amp;$B587,'3) Release_Label'!$D:$D&amp;'3) Release_Label'!$E:$E,1,0))),vlookup($A587&amp;$B587,{'3) Release_Label'!$D:$D&amp;'3) Release_Label'!$E:$E,'3) Release_Label'!$F:$F},2,0),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D587" s="114" t="str">
        <f t="array" ref="D587">ifs(and(isblank($A587),isblank($B587)),"", not(iserror(vlookup($A587&amp;$B587,'3) Release_Label'!$D:$D&amp;'3) Release_Label'!$E:$E,1,0))),vlookup($A587&amp;$B587,{'3) Release_Label'!$D:$D&amp;'3) Release_Label'!$E:$E,'3) Release_Label'!$H:$H},2,0),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E587" s="128" t="str">
        <f t="shared" si="3"/>
        <v/>
      </c>
      <c r="G587" s="93"/>
      <c r="H587" s="133"/>
      <c r="J587" s="20"/>
      <c r="K587" s="94"/>
      <c r="L587" s="20"/>
      <c r="N587" s="20"/>
      <c r="O587" s="20"/>
      <c r="P587" s="20"/>
    </row>
    <row r="588">
      <c r="A588" s="28"/>
      <c r="B588" s="93"/>
      <c r="C588" s="114" t="str">
        <f t="array" ref="C588">ifs(and(isblank($A588),isblank($B588)),"", not(iserror(vlookup($A588&amp;$B588,'3) Release_Label'!$D:$D&amp;'3) Release_Label'!$E:$E,1,0))),vlookup($A588&amp;$B588,{'3) Release_Label'!$D:$D&amp;'3) Release_Label'!$E:$E,'3) Release_Label'!$F:$F},2,0),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D588" s="114" t="str">
        <f t="array" ref="D588">ifs(and(isblank($A588),isblank($B588)),"", not(iserror(vlookup($A588&amp;$B588,'3) Release_Label'!$D:$D&amp;'3) Release_Label'!$E:$E,1,0))),vlookup($A588&amp;$B588,{'3) Release_Label'!$D:$D&amp;'3) Release_Label'!$E:$E,'3) Release_Label'!$H:$H},2,0),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E588" s="128" t="str">
        <f t="shared" si="3"/>
        <v/>
      </c>
      <c r="G588" s="93"/>
      <c r="H588" s="133"/>
      <c r="J588" s="20"/>
      <c r="K588" s="94"/>
      <c r="L588" s="20"/>
      <c r="N588" s="20"/>
      <c r="O588" s="20"/>
      <c r="P588" s="20"/>
    </row>
    <row r="589">
      <c r="A589" s="28"/>
      <c r="B589" s="93"/>
      <c r="C589" s="114" t="str">
        <f t="array" ref="C589">ifs(and(isblank($A589),isblank($B589)),"", not(iserror(vlookup($A589&amp;$B589,'3) Release_Label'!$D:$D&amp;'3) Release_Label'!$E:$E,1,0))),vlookup($A589&amp;$B589,{'3) Release_Label'!$D:$D&amp;'3) Release_Label'!$E:$E,'3) Release_Label'!$F:$F},2,0),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D589" s="114" t="str">
        <f t="array" ref="D589">ifs(and(isblank($A589),isblank($B589)),"", not(iserror(vlookup($A589&amp;$B589,'3) Release_Label'!$D:$D&amp;'3) Release_Label'!$E:$E,1,0))),vlookup($A589&amp;$B589,{'3) Release_Label'!$D:$D&amp;'3) Release_Label'!$E:$E,'3) Release_Label'!$H:$H},2,0),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E589" s="128" t="str">
        <f t="shared" si="3"/>
        <v/>
      </c>
      <c r="G589" s="93"/>
      <c r="H589" s="133"/>
      <c r="J589" s="20"/>
      <c r="K589" s="94"/>
      <c r="L589" s="20"/>
      <c r="N589" s="20"/>
      <c r="O589" s="20"/>
      <c r="P589" s="20"/>
    </row>
    <row r="590">
      <c r="A590" s="28"/>
      <c r="B590" s="93"/>
      <c r="C590" s="114" t="str">
        <f t="array" ref="C590">ifs(and(isblank($A590),isblank($B590)),"", not(iserror(vlookup($A590&amp;$B590,'3) Release_Label'!$D:$D&amp;'3) Release_Label'!$E:$E,1,0))),vlookup($A590&amp;$B590,{'3) Release_Label'!$D:$D&amp;'3) Release_Label'!$E:$E,'3) Release_Label'!$F:$F},2,0),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D590" s="114" t="str">
        <f t="array" ref="D590">ifs(and(isblank($A590),isblank($B590)),"", not(iserror(vlookup($A590&amp;$B590,'3) Release_Label'!$D:$D&amp;'3) Release_Label'!$E:$E,1,0))),vlookup($A590&amp;$B590,{'3) Release_Label'!$D:$D&amp;'3) Release_Label'!$E:$E,'3) Release_Label'!$H:$H},2,0),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E590" s="128" t="str">
        <f t="shared" si="3"/>
        <v/>
      </c>
      <c r="G590" s="93"/>
      <c r="H590" s="133"/>
      <c r="J590" s="20"/>
      <c r="K590" s="94"/>
      <c r="L590" s="20"/>
      <c r="N590" s="20"/>
      <c r="O590" s="20"/>
      <c r="P590" s="20"/>
    </row>
    <row r="591">
      <c r="A591" s="28"/>
      <c r="B591" s="93"/>
      <c r="C591" s="114" t="str">
        <f t="array" ref="C591">ifs(and(isblank($A591),isblank($B591)),"", not(iserror(vlookup($A591&amp;$B591,'3) Release_Label'!$D:$D&amp;'3) Release_Label'!$E:$E,1,0))),vlookup($A591&amp;$B591,{'3) Release_Label'!$D:$D&amp;'3) Release_Label'!$E:$E,'3) Release_Label'!$F:$F},2,0),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D591" s="114" t="str">
        <f t="array" ref="D591">ifs(and(isblank($A591),isblank($B591)),"", not(iserror(vlookup($A591&amp;$B591,'3) Release_Label'!$D:$D&amp;'3) Release_Label'!$E:$E,1,0))),vlookup($A591&amp;$B591,{'3) Release_Label'!$D:$D&amp;'3) Release_Label'!$E:$E,'3) Release_Label'!$H:$H},2,0),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E591" s="128" t="str">
        <f t="shared" si="3"/>
        <v/>
      </c>
      <c r="G591" s="93"/>
      <c r="H591" s="133"/>
      <c r="J591" s="20"/>
      <c r="K591" s="94"/>
      <c r="L591" s="20"/>
      <c r="N591" s="20"/>
      <c r="O591" s="20"/>
      <c r="P591" s="20"/>
    </row>
    <row r="592">
      <c r="A592" s="28"/>
      <c r="B592" s="93"/>
      <c r="C592" s="114" t="str">
        <f t="array" ref="C592">ifs(and(isblank($A592),isblank($B592)),"", not(iserror(vlookup($A592&amp;$B592,'3) Release_Label'!$D:$D&amp;'3) Release_Label'!$E:$E,1,0))),vlookup($A592&amp;$B592,{'3) Release_Label'!$D:$D&amp;'3) Release_Label'!$E:$E,'3) Release_Label'!$F:$F},2,0),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D592" s="114" t="str">
        <f t="array" ref="D592">ifs(and(isblank($A592),isblank($B592)),"", not(iserror(vlookup($A592&amp;$B592,'3) Release_Label'!$D:$D&amp;'3) Release_Label'!$E:$E,1,0))),vlookup($A592&amp;$B592,{'3) Release_Label'!$D:$D&amp;'3) Release_Label'!$E:$E,'3) Release_Label'!$H:$H},2,0),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E592" s="128" t="str">
        <f t="shared" si="3"/>
        <v/>
      </c>
      <c r="G592" s="93"/>
      <c r="H592" s="133"/>
      <c r="J592" s="20"/>
      <c r="K592" s="94"/>
      <c r="L592" s="20"/>
      <c r="N592" s="20"/>
      <c r="O592" s="20"/>
      <c r="P592" s="20"/>
    </row>
    <row r="593">
      <c r="A593" s="28"/>
      <c r="B593" s="93"/>
      <c r="C593" s="114" t="str">
        <f t="array" ref="C593">ifs(and(isblank($A593),isblank($B593)),"", not(iserror(vlookup($A593&amp;$B593,'3) Release_Label'!$D:$D&amp;'3) Release_Label'!$E:$E,1,0))),vlookup($A593&amp;$B593,{'3) Release_Label'!$D:$D&amp;'3) Release_Label'!$E:$E,'3) Release_Label'!$F:$F},2,0),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D593" s="114" t="str">
        <f t="array" ref="D593">ifs(and(isblank($A593),isblank($B593)),"", not(iserror(vlookup($A593&amp;$B593,'3) Release_Label'!$D:$D&amp;'3) Release_Label'!$E:$E,1,0))),vlookup($A593&amp;$B593,{'3) Release_Label'!$D:$D&amp;'3) Release_Label'!$E:$E,'3) Release_Label'!$H:$H},2,0),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E593" s="128" t="str">
        <f t="shared" si="3"/>
        <v/>
      </c>
      <c r="G593" s="93"/>
      <c r="H593" s="133"/>
      <c r="J593" s="20"/>
      <c r="K593" s="94"/>
      <c r="L593" s="20"/>
      <c r="N593" s="20"/>
      <c r="O593" s="20"/>
      <c r="P593" s="20"/>
    </row>
    <row r="594">
      <c r="A594" s="28"/>
      <c r="B594" s="93"/>
      <c r="C594" s="114" t="str">
        <f t="array" ref="C594">ifs(and(isblank($A594),isblank($B594)),"", not(iserror(vlookup($A594&amp;$B594,'3) Release_Label'!$D:$D&amp;'3) Release_Label'!$E:$E,1,0))),vlookup($A594&amp;$B594,{'3) Release_Label'!$D:$D&amp;'3) Release_Label'!$E:$E,'3) Release_Label'!$F:$F},2,0),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D594" s="114" t="str">
        <f t="array" ref="D594">ifs(and(isblank($A594),isblank($B594)),"", not(iserror(vlookup($A594&amp;$B594,'3) Release_Label'!$D:$D&amp;'3) Release_Label'!$E:$E,1,0))),vlookup($A594&amp;$B594,{'3) Release_Label'!$D:$D&amp;'3) Release_Label'!$E:$E,'3) Release_Label'!$H:$H},2,0),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E594" s="128" t="str">
        <f t="shared" si="3"/>
        <v/>
      </c>
      <c r="G594" s="93"/>
      <c r="H594" s="133"/>
      <c r="J594" s="20"/>
      <c r="K594" s="94"/>
      <c r="L594" s="20"/>
      <c r="N594" s="20"/>
      <c r="O594" s="20"/>
      <c r="P594" s="20"/>
    </row>
    <row r="595">
      <c r="A595" s="28"/>
      <c r="B595" s="93"/>
      <c r="C595" s="114" t="str">
        <f t="array" ref="C595">ifs(and(isblank($A595),isblank($B595)),"", not(iserror(vlookup($A595&amp;$B595,'3) Release_Label'!$D:$D&amp;'3) Release_Label'!$E:$E,1,0))),vlookup($A595&amp;$B595,{'3) Release_Label'!$D:$D&amp;'3) Release_Label'!$E:$E,'3) Release_Label'!$F:$F},2,0),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D595" s="114" t="str">
        <f t="array" ref="D595">ifs(and(isblank($A595),isblank($B595)),"", not(iserror(vlookup($A595&amp;$B595,'3) Release_Label'!$D:$D&amp;'3) Release_Label'!$E:$E,1,0))),vlookup($A595&amp;$B595,{'3) Release_Label'!$D:$D&amp;'3) Release_Label'!$E:$E,'3) Release_Label'!$H:$H},2,0),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E595" s="128" t="str">
        <f t="shared" si="3"/>
        <v/>
      </c>
      <c r="G595" s="93"/>
      <c r="H595" s="133"/>
      <c r="J595" s="20"/>
      <c r="K595" s="94"/>
      <c r="L595" s="20"/>
      <c r="N595" s="20"/>
      <c r="O595" s="20"/>
      <c r="P595" s="20"/>
    </row>
    <row r="596">
      <c r="A596" s="28"/>
      <c r="B596" s="93"/>
      <c r="C596" s="114" t="str">
        <f t="array" ref="C596">ifs(and(isblank($A596),isblank($B596)),"", not(iserror(vlookup($A596&amp;$B596,'3) Release_Label'!$D:$D&amp;'3) Release_Label'!$E:$E,1,0))),vlookup($A596&amp;$B596,{'3) Release_Label'!$D:$D&amp;'3) Release_Label'!$E:$E,'3) Release_Label'!$F:$F},2,0),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D596" s="114" t="str">
        <f t="array" ref="D596">ifs(and(isblank($A596),isblank($B596)),"", not(iserror(vlookup($A596&amp;$B596,'3) Release_Label'!$D:$D&amp;'3) Release_Label'!$E:$E,1,0))),vlookup($A596&amp;$B596,{'3) Release_Label'!$D:$D&amp;'3) Release_Label'!$E:$E,'3) Release_Label'!$H:$H},2,0),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E596" s="128" t="str">
        <f t="shared" si="3"/>
        <v/>
      </c>
      <c r="G596" s="93"/>
      <c r="H596" s="133"/>
      <c r="J596" s="20"/>
      <c r="K596" s="94"/>
      <c r="L596" s="20"/>
      <c r="N596" s="20"/>
      <c r="O596" s="20"/>
      <c r="P596" s="20"/>
    </row>
    <row r="597">
      <c r="A597" s="28"/>
      <c r="B597" s="93"/>
      <c r="C597" s="114" t="str">
        <f t="array" ref="C597">ifs(and(isblank($A597),isblank($B597)),"", not(iserror(vlookup($A597&amp;$B597,'3) Release_Label'!$D:$D&amp;'3) Release_Label'!$E:$E,1,0))),vlookup($A597&amp;$B597,{'3) Release_Label'!$D:$D&amp;'3) Release_Label'!$E:$E,'3) Release_Label'!$F:$F},2,0),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D597" s="114" t="str">
        <f t="array" ref="D597">ifs(and(isblank($A597),isblank($B597)),"", not(iserror(vlookup($A597&amp;$B597,'3) Release_Label'!$D:$D&amp;'3) Release_Label'!$E:$E,1,0))),vlookup($A597&amp;$B597,{'3) Release_Label'!$D:$D&amp;'3) Release_Label'!$E:$E,'3) Release_Label'!$H:$H},2,0),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E597" s="128" t="str">
        <f t="shared" si="3"/>
        <v/>
      </c>
      <c r="G597" s="93"/>
      <c r="H597" s="133"/>
      <c r="J597" s="20"/>
      <c r="K597" s="94"/>
      <c r="L597" s="20"/>
      <c r="N597" s="20"/>
      <c r="O597" s="20"/>
      <c r="P597" s="20"/>
    </row>
    <row r="598">
      <c r="A598" s="28"/>
      <c r="B598" s="93"/>
      <c r="C598" s="114" t="str">
        <f t="array" ref="C598">ifs(and(isblank($A598),isblank($B598)),"", not(iserror(vlookup($A598&amp;$B598,'3) Release_Label'!$D:$D&amp;'3) Release_Label'!$E:$E,1,0))),vlookup($A598&amp;$B598,{'3) Release_Label'!$D:$D&amp;'3) Release_Label'!$E:$E,'3) Release_Label'!$F:$F},2,0),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D598" s="114" t="str">
        <f t="array" ref="D598">ifs(and(isblank($A598),isblank($B598)),"", not(iserror(vlookup($A598&amp;$B598,'3) Release_Label'!$D:$D&amp;'3) Release_Label'!$E:$E,1,0))),vlookup($A598&amp;$B598,{'3) Release_Label'!$D:$D&amp;'3) Release_Label'!$E:$E,'3) Release_Label'!$H:$H},2,0),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E598" s="128" t="str">
        <f t="shared" si="3"/>
        <v/>
      </c>
      <c r="G598" s="93"/>
      <c r="H598" s="133"/>
      <c r="J598" s="20"/>
      <c r="K598" s="94"/>
      <c r="L598" s="20"/>
      <c r="N598" s="20"/>
      <c r="O598" s="20"/>
      <c r="P598" s="20"/>
    </row>
    <row r="599">
      <c r="A599" s="28"/>
      <c r="B599" s="93"/>
      <c r="C599" s="114" t="str">
        <f t="array" ref="C599">ifs(and(isblank($A599),isblank($B599)),"", not(iserror(vlookup($A599&amp;$B599,'3) Release_Label'!$D:$D&amp;'3) Release_Label'!$E:$E,1,0))),vlookup($A599&amp;$B599,{'3) Release_Label'!$D:$D&amp;'3) Release_Label'!$E:$E,'3) Release_Label'!$F:$F},2,0),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D599" s="114" t="str">
        <f t="array" ref="D599">ifs(and(isblank($A599),isblank($B599)),"", not(iserror(vlookup($A599&amp;$B599,'3) Release_Label'!$D:$D&amp;'3) Release_Label'!$E:$E,1,0))),vlookup($A599&amp;$B599,{'3) Release_Label'!$D:$D&amp;'3) Release_Label'!$E:$E,'3) Release_Label'!$H:$H},2,0),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E599" s="128" t="str">
        <f t="shared" si="3"/>
        <v/>
      </c>
      <c r="G599" s="93"/>
      <c r="H599" s="133"/>
      <c r="J599" s="20"/>
      <c r="K599" s="94"/>
      <c r="L599" s="20"/>
      <c r="N599" s="20"/>
      <c r="O599" s="20"/>
      <c r="P599" s="20"/>
    </row>
    <row r="600">
      <c r="A600" s="28"/>
      <c r="B600" s="93"/>
      <c r="C600" s="114" t="str">
        <f t="array" ref="C600">ifs(and(isblank($A600),isblank($B600)),"", not(iserror(vlookup($A600&amp;$B600,'3) Release_Label'!$D:$D&amp;'3) Release_Label'!$E:$E,1,0))),vlookup($A600&amp;$B600,{'3) Release_Label'!$D:$D&amp;'3) Release_Label'!$E:$E,'3) Release_Label'!$F:$F},2,0),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D600" s="114" t="str">
        <f t="array" ref="D600">ifs(and(isblank($A600),isblank($B600)),"", not(iserror(vlookup($A600&amp;$B600,'3) Release_Label'!$D:$D&amp;'3) Release_Label'!$E:$E,1,0))),vlookup($A600&amp;$B600,{'3) Release_Label'!$D:$D&amp;'3) Release_Label'!$E:$E,'3) Release_Label'!$H:$H},2,0),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E600" s="128" t="str">
        <f t="shared" si="3"/>
        <v/>
      </c>
      <c r="G600" s="93"/>
      <c r="H600" s="133"/>
      <c r="J600" s="20"/>
      <c r="K600" s="94"/>
      <c r="L600" s="20"/>
      <c r="N600" s="20"/>
      <c r="O600" s="20"/>
      <c r="P600" s="20"/>
    </row>
    <row r="601">
      <c r="A601" s="28"/>
      <c r="B601" s="93"/>
      <c r="C601" s="114" t="str">
        <f t="array" ref="C601">ifs(and(isblank($A601),isblank($B601)),"", not(iserror(vlookup($A601&amp;$B601,'3) Release_Label'!$D:$D&amp;'3) Release_Label'!$E:$E,1,0))),vlookup($A601&amp;$B601,{'3) Release_Label'!$D:$D&amp;'3) Release_Label'!$E:$E,'3) Release_Label'!$F:$F},2,0),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D601" s="114" t="str">
        <f t="array" ref="D601">ifs(and(isblank($A601),isblank($B601)),"", not(iserror(vlookup($A601&amp;$B601,'3) Release_Label'!$D:$D&amp;'3) Release_Label'!$E:$E,1,0))),vlookup($A601&amp;$B601,{'3) Release_Label'!$D:$D&amp;'3) Release_Label'!$E:$E,'3) Release_Label'!$H:$H},2,0),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E601" s="128" t="str">
        <f t="shared" si="3"/>
        <v/>
      </c>
      <c r="G601" s="93"/>
      <c r="H601" s="133"/>
      <c r="J601" s="20"/>
      <c r="K601" s="94"/>
      <c r="L601" s="20"/>
      <c r="N601" s="20"/>
      <c r="O601" s="20"/>
      <c r="P601" s="20"/>
    </row>
    <row r="602">
      <c r="A602" s="28"/>
      <c r="B602" s="93"/>
      <c r="C602" s="114" t="str">
        <f t="array" ref="C602">ifs(and(isblank($A602),isblank($B602)),"", not(iserror(vlookup($A602&amp;$B602,'3) Release_Label'!$D:$D&amp;'3) Release_Label'!$E:$E,1,0))),vlookup($A602&amp;$B602,{'3) Release_Label'!$D:$D&amp;'3) Release_Label'!$E:$E,'3) Release_Label'!$F:$F},2,0),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D602" s="114" t="str">
        <f t="array" ref="D602">ifs(and(isblank($A602),isblank($B602)),"", not(iserror(vlookup($A602&amp;$B602,'3) Release_Label'!$D:$D&amp;'3) Release_Label'!$E:$E,1,0))),vlookup($A602&amp;$B602,{'3) Release_Label'!$D:$D&amp;'3) Release_Label'!$E:$E,'3) Release_Label'!$H:$H},2,0),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E602" s="128" t="str">
        <f t="shared" si="3"/>
        <v/>
      </c>
      <c r="G602" s="93"/>
      <c r="H602" s="133"/>
      <c r="J602" s="20"/>
      <c r="K602" s="94"/>
      <c r="L602" s="20"/>
      <c r="N602" s="20"/>
      <c r="O602" s="20"/>
      <c r="P602" s="20"/>
    </row>
    <row r="603">
      <c r="A603" s="28"/>
      <c r="B603" s="93"/>
      <c r="C603" s="114" t="str">
        <f t="array" ref="C603">ifs(and(isblank($A603),isblank($B603)),"", not(iserror(vlookup($A603&amp;$B603,'3) Release_Label'!$D:$D&amp;'3) Release_Label'!$E:$E,1,0))),vlookup($A603&amp;$B603,{'3) Release_Label'!$D:$D&amp;'3) Release_Label'!$E:$E,'3) Release_Label'!$F:$F},2,0),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D603" s="114" t="str">
        <f t="array" ref="D603">ifs(and(isblank($A603),isblank($B603)),"", not(iserror(vlookup($A603&amp;$B603,'3) Release_Label'!$D:$D&amp;'3) Release_Label'!$E:$E,1,0))),vlookup($A603&amp;$B603,{'3) Release_Label'!$D:$D&amp;'3) Release_Label'!$E:$E,'3) Release_Label'!$H:$H},2,0),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E603" s="128" t="str">
        <f t="shared" si="3"/>
        <v/>
      </c>
      <c r="G603" s="93"/>
      <c r="H603" s="133"/>
      <c r="J603" s="20"/>
      <c r="K603" s="94"/>
      <c r="L603" s="20"/>
      <c r="N603" s="20"/>
      <c r="O603" s="20"/>
      <c r="P603" s="20"/>
    </row>
    <row r="604">
      <c r="A604" s="28"/>
      <c r="B604" s="93"/>
      <c r="C604" s="114" t="str">
        <f t="array" ref="C604">ifs(and(isblank($A604),isblank($B604)),"", not(iserror(vlookup($A604&amp;$B604,'3) Release_Label'!$D:$D&amp;'3) Release_Label'!$E:$E,1,0))),vlookup($A604&amp;$B604,{'3) Release_Label'!$D:$D&amp;'3) Release_Label'!$E:$E,'3) Release_Label'!$F:$F},2,0),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D604" s="114" t="str">
        <f t="array" ref="D604">ifs(and(isblank($A604),isblank($B604)),"", not(iserror(vlookup($A604&amp;$B604,'3) Release_Label'!$D:$D&amp;'3) Release_Label'!$E:$E,1,0))),vlookup($A604&amp;$B604,{'3) Release_Label'!$D:$D&amp;'3) Release_Label'!$E:$E,'3) Release_Label'!$H:$H},2,0),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E604" s="128" t="str">
        <f t="shared" si="3"/>
        <v/>
      </c>
      <c r="G604" s="93"/>
      <c r="H604" s="133"/>
      <c r="J604" s="20"/>
      <c r="K604" s="94"/>
      <c r="L604" s="20"/>
      <c r="N604" s="20"/>
      <c r="O604" s="20"/>
      <c r="P604" s="20"/>
    </row>
    <row r="605">
      <c r="A605" s="28"/>
      <c r="B605" s="93"/>
      <c r="C605" s="114" t="str">
        <f t="array" ref="C605">ifs(and(isblank($A605),isblank($B605)),"", not(iserror(vlookup($A605&amp;$B605,'3) Release_Label'!$D:$D&amp;'3) Release_Label'!$E:$E,1,0))),vlookup($A605&amp;$B605,{'3) Release_Label'!$D:$D&amp;'3) Release_Label'!$E:$E,'3) Release_Label'!$F:$F},2,0),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D605" s="114" t="str">
        <f t="array" ref="D605">ifs(and(isblank($A605),isblank($B605)),"", not(iserror(vlookup($A605&amp;$B605,'3) Release_Label'!$D:$D&amp;'3) Release_Label'!$E:$E,1,0))),vlookup($A605&amp;$B605,{'3) Release_Label'!$D:$D&amp;'3) Release_Label'!$E:$E,'3) Release_Label'!$H:$H},2,0),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E605" s="128" t="str">
        <f t="shared" si="3"/>
        <v/>
      </c>
      <c r="G605" s="93"/>
      <c r="H605" s="133"/>
      <c r="J605" s="20"/>
      <c r="K605" s="94"/>
      <c r="L605" s="20"/>
      <c r="N605" s="20"/>
      <c r="O605" s="20"/>
      <c r="P605" s="20"/>
    </row>
    <row r="606">
      <c r="A606" s="28"/>
      <c r="B606" s="93"/>
      <c r="C606" s="114" t="str">
        <f t="array" ref="C606">ifs(and(isblank($A606),isblank($B606)),"", not(iserror(vlookup($A606&amp;$B606,'3) Release_Label'!$D:$D&amp;'3) Release_Label'!$E:$E,1,0))),vlookup($A606&amp;$B606,{'3) Release_Label'!$D:$D&amp;'3) Release_Label'!$E:$E,'3) Release_Label'!$F:$F},2,0),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D606" s="114" t="str">
        <f t="array" ref="D606">ifs(and(isblank($A606),isblank($B606)),"", not(iserror(vlookup($A606&amp;$B606,'3) Release_Label'!$D:$D&amp;'3) Release_Label'!$E:$E,1,0))),vlookup($A606&amp;$B606,{'3) Release_Label'!$D:$D&amp;'3) Release_Label'!$E:$E,'3) Release_Label'!$H:$H},2,0),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E606" s="128" t="str">
        <f t="shared" si="3"/>
        <v/>
      </c>
      <c r="G606" s="93"/>
      <c r="H606" s="133"/>
      <c r="J606" s="20"/>
      <c r="K606" s="94"/>
      <c r="L606" s="20"/>
      <c r="N606" s="20"/>
      <c r="O606" s="20"/>
      <c r="P606" s="20"/>
    </row>
    <row r="607">
      <c r="A607" s="28"/>
      <c r="B607" s="93"/>
      <c r="C607" s="114" t="str">
        <f t="array" ref="C607">ifs(and(isblank($A607),isblank($B607)),"", not(iserror(vlookup($A607&amp;$B607,'3) Release_Label'!$D:$D&amp;'3) Release_Label'!$E:$E,1,0))),vlookup($A607&amp;$B607,{'3) Release_Label'!$D:$D&amp;'3) Release_Label'!$E:$E,'3) Release_Label'!$F:$F},2,0),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D607" s="114" t="str">
        <f t="array" ref="D607">ifs(and(isblank($A607),isblank($B607)),"", not(iserror(vlookup($A607&amp;$B607,'3) Release_Label'!$D:$D&amp;'3) Release_Label'!$E:$E,1,0))),vlookup($A607&amp;$B607,{'3) Release_Label'!$D:$D&amp;'3) Release_Label'!$E:$E,'3) Release_Label'!$H:$H},2,0),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E607" s="128" t="str">
        <f t="shared" si="3"/>
        <v/>
      </c>
      <c r="G607" s="93"/>
      <c r="H607" s="133"/>
      <c r="J607" s="20"/>
      <c r="K607" s="94"/>
      <c r="L607" s="20"/>
      <c r="N607" s="20"/>
      <c r="O607" s="20"/>
      <c r="P607" s="20"/>
    </row>
    <row r="608">
      <c r="A608" s="28"/>
      <c r="B608" s="93"/>
      <c r="C608" s="114" t="str">
        <f t="array" ref="C608">ifs(and(isblank($A608),isblank($B608)),"", not(iserror(vlookup($A608&amp;$B608,'3) Release_Label'!$D:$D&amp;'3) Release_Label'!$E:$E,1,0))),vlookup($A608&amp;$B608,{'3) Release_Label'!$D:$D&amp;'3) Release_Label'!$E:$E,'3) Release_Label'!$F:$F},2,0),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D608" s="114" t="str">
        <f t="array" ref="D608">ifs(and(isblank($A608),isblank($B608)),"", not(iserror(vlookup($A608&amp;$B608,'3) Release_Label'!$D:$D&amp;'3) Release_Label'!$E:$E,1,0))),vlookup($A608&amp;$B608,{'3) Release_Label'!$D:$D&amp;'3) Release_Label'!$E:$E,'3) Release_Label'!$H:$H},2,0),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E608" s="128" t="str">
        <f t="shared" si="3"/>
        <v/>
      </c>
      <c r="G608" s="93"/>
      <c r="H608" s="133"/>
      <c r="J608" s="20"/>
      <c r="K608" s="94"/>
      <c r="L608" s="20"/>
      <c r="N608" s="20"/>
      <c r="O608" s="20"/>
      <c r="P608" s="20"/>
    </row>
    <row r="609">
      <c r="A609" s="28"/>
      <c r="B609" s="93"/>
      <c r="C609" s="114" t="str">
        <f t="array" ref="C609">ifs(and(isblank($A609),isblank($B609)),"", not(iserror(vlookup($A609&amp;$B609,'3) Release_Label'!$D:$D&amp;'3) Release_Label'!$E:$E,1,0))),vlookup($A609&amp;$B609,{'3) Release_Label'!$D:$D&amp;'3) Release_Label'!$E:$E,'3) Release_Label'!$F:$F},2,0),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D609" s="114" t="str">
        <f t="array" ref="D609">ifs(and(isblank($A609),isblank($B609)),"", not(iserror(vlookup($A609&amp;$B609,'3) Release_Label'!$D:$D&amp;'3) Release_Label'!$E:$E,1,0))),vlookup($A609&amp;$B609,{'3) Release_Label'!$D:$D&amp;'3) Release_Label'!$E:$E,'3) Release_Label'!$H:$H},2,0),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E609" s="128" t="str">
        <f t="shared" si="3"/>
        <v/>
      </c>
      <c r="G609" s="93"/>
      <c r="H609" s="133"/>
      <c r="J609" s="20"/>
      <c r="K609" s="94"/>
      <c r="L609" s="20"/>
      <c r="N609" s="20"/>
      <c r="O609" s="20"/>
      <c r="P609" s="20"/>
    </row>
    <row r="610">
      <c r="A610" s="28"/>
      <c r="B610" s="93"/>
      <c r="C610" s="114" t="str">
        <f t="array" ref="C610">ifs(and(isblank($A610),isblank($B610)),"", not(iserror(vlookup($A610&amp;$B610,'3) Release_Label'!$D:$D&amp;'3) Release_Label'!$E:$E,1,0))),vlookup($A610&amp;$B610,{'3) Release_Label'!$D:$D&amp;'3) Release_Label'!$E:$E,'3) Release_Label'!$F:$F},2,0),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D610" s="114" t="str">
        <f t="array" ref="D610">ifs(and(isblank($A610),isblank($B610)),"", not(iserror(vlookup($A610&amp;$B610,'3) Release_Label'!$D:$D&amp;'3) Release_Label'!$E:$E,1,0))),vlookup($A610&amp;$B610,{'3) Release_Label'!$D:$D&amp;'3) Release_Label'!$E:$E,'3) Release_Label'!$H:$H},2,0),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E610" s="128" t="str">
        <f t="shared" si="3"/>
        <v/>
      </c>
      <c r="G610" s="93"/>
      <c r="H610" s="133"/>
      <c r="J610" s="20"/>
      <c r="K610" s="94"/>
      <c r="L610" s="20"/>
      <c r="N610" s="20"/>
      <c r="O610" s="20"/>
      <c r="P610" s="20"/>
    </row>
    <row r="611">
      <c r="A611" s="28"/>
      <c r="B611" s="93"/>
      <c r="C611" s="114" t="str">
        <f t="array" ref="C611">ifs(and(isblank($A611),isblank($B611)),"", not(iserror(vlookup($A611&amp;$B611,'3) Release_Label'!$D:$D&amp;'3) Release_Label'!$E:$E,1,0))),vlookup($A611&amp;$B611,{'3) Release_Label'!$D:$D&amp;'3) Release_Label'!$E:$E,'3) Release_Label'!$F:$F},2,0),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D611" s="114" t="str">
        <f t="array" ref="D611">ifs(and(isblank($A611),isblank($B611)),"", not(iserror(vlookup($A611&amp;$B611,'3) Release_Label'!$D:$D&amp;'3) Release_Label'!$E:$E,1,0))),vlookup($A611&amp;$B611,{'3) Release_Label'!$D:$D&amp;'3) Release_Label'!$E:$E,'3) Release_Label'!$H:$H},2,0),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E611" s="128" t="str">
        <f t="shared" si="3"/>
        <v/>
      </c>
      <c r="G611" s="93"/>
      <c r="H611" s="133"/>
      <c r="J611" s="20"/>
      <c r="K611" s="94"/>
      <c r="L611" s="20"/>
      <c r="N611" s="20"/>
      <c r="O611" s="20"/>
      <c r="P611" s="20"/>
    </row>
    <row r="612">
      <c r="A612" s="28"/>
      <c r="B612" s="93"/>
      <c r="C612" s="114" t="str">
        <f t="array" ref="C612">ifs(and(isblank($A612),isblank($B612)),"", not(iserror(vlookup($A612&amp;$B612,'3) Release_Label'!$D:$D&amp;'3) Release_Label'!$E:$E,1,0))),vlookup($A612&amp;$B612,{'3) Release_Label'!$D:$D&amp;'3) Release_Label'!$E:$E,'3) Release_Label'!$F:$F},2,0),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D612" s="114" t="str">
        <f t="array" ref="D612">ifs(and(isblank($A612),isblank($B612)),"", not(iserror(vlookup($A612&amp;$B612,'3) Release_Label'!$D:$D&amp;'3) Release_Label'!$E:$E,1,0))),vlookup($A612&amp;$B612,{'3) Release_Label'!$D:$D&amp;'3) Release_Label'!$E:$E,'3) Release_Label'!$H:$H},2,0),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E612" s="128" t="str">
        <f t="shared" si="3"/>
        <v/>
      </c>
      <c r="G612" s="93"/>
      <c r="H612" s="133"/>
      <c r="J612" s="20"/>
      <c r="K612" s="94"/>
      <c r="L612" s="20"/>
      <c r="N612" s="20"/>
      <c r="O612" s="20"/>
      <c r="P612" s="20"/>
    </row>
    <row r="613">
      <c r="A613" s="28"/>
      <c r="B613" s="93"/>
      <c r="C613" s="114" t="str">
        <f t="array" ref="C613">ifs(and(isblank($A613),isblank($B613)),"", not(iserror(vlookup($A613&amp;$B613,'3) Release_Label'!$D:$D&amp;'3) Release_Label'!$E:$E,1,0))),vlookup($A613&amp;$B613,{'3) Release_Label'!$D:$D&amp;'3) Release_Label'!$E:$E,'3) Release_Label'!$F:$F},2,0),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D613" s="114" t="str">
        <f t="array" ref="D613">ifs(and(isblank($A613),isblank($B613)),"", not(iserror(vlookup($A613&amp;$B613,'3) Release_Label'!$D:$D&amp;'3) Release_Label'!$E:$E,1,0))),vlookup($A613&amp;$B613,{'3) Release_Label'!$D:$D&amp;'3) Release_Label'!$E:$E,'3) Release_Label'!$H:$H},2,0),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E613" s="128" t="str">
        <f t="shared" si="3"/>
        <v/>
      </c>
      <c r="G613" s="93"/>
      <c r="H613" s="133"/>
      <c r="J613" s="20"/>
      <c r="K613" s="94"/>
      <c r="L613" s="20"/>
      <c r="N613" s="20"/>
      <c r="O613" s="20"/>
      <c r="P613" s="20"/>
    </row>
    <row r="614">
      <c r="A614" s="28"/>
      <c r="B614" s="93"/>
      <c r="C614" s="114" t="str">
        <f t="array" ref="C614">ifs(and(isblank($A614),isblank($B614)),"", not(iserror(vlookup($A614&amp;$B614,'3) Release_Label'!$D:$D&amp;'3) Release_Label'!$E:$E,1,0))),vlookup($A614&amp;$B614,{'3) Release_Label'!$D:$D&amp;'3) Release_Label'!$E:$E,'3) Release_Label'!$F:$F},2,0),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D614" s="114" t="str">
        <f t="array" ref="D614">ifs(and(isblank($A614),isblank($B614)),"", not(iserror(vlookup($A614&amp;$B614,'3) Release_Label'!$D:$D&amp;'3) Release_Label'!$E:$E,1,0))),vlookup($A614&amp;$B614,{'3) Release_Label'!$D:$D&amp;'3) Release_Label'!$E:$E,'3) Release_Label'!$H:$H},2,0),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E614" s="128" t="str">
        <f t="shared" si="3"/>
        <v/>
      </c>
      <c r="G614" s="93"/>
      <c r="H614" s="133"/>
      <c r="J614" s="20"/>
      <c r="K614" s="94"/>
      <c r="L614" s="20"/>
      <c r="N614" s="20"/>
      <c r="O614" s="20"/>
      <c r="P614" s="20"/>
    </row>
    <row r="615">
      <c r="A615" s="28"/>
      <c r="B615" s="93"/>
      <c r="C615" s="114" t="str">
        <f t="array" ref="C615">ifs(and(isblank($A615),isblank($B615)),"", not(iserror(vlookup($A615&amp;$B615,'3) Release_Label'!$D:$D&amp;'3) Release_Label'!$E:$E,1,0))),vlookup($A615&amp;$B615,{'3) Release_Label'!$D:$D&amp;'3) Release_Label'!$E:$E,'3) Release_Label'!$F:$F},2,0),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D615" s="114" t="str">
        <f t="array" ref="D615">ifs(and(isblank($A615),isblank($B615)),"", not(iserror(vlookup($A615&amp;$B615,'3) Release_Label'!$D:$D&amp;'3) Release_Label'!$E:$E,1,0))),vlookup($A615&amp;$B615,{'3) Release_Label'!$D:$D&amp;'3) Release_Label'!$E:$E,'3) Release_Label'!$H:$H},2,0),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E615" s="128" t="str">
        <f t="shared" si="3"/>
        <v/>
      </c>
      <c r="G615" s="93"/>
      <c r="H615" s="133"/>
      <c r="J615" s="20"/>
      <c r="K615" s="94"/>
      <c r="L615" s="20"/>
      <c r="N615" s="20"/>
      <c r="O615" s="20"/>
      <c r="P615" s="20"/>
    </row>
    <row r="616">
      <c r="A616" s="28"/>
      <c r="B616" s="93"/>
      <c r="C616" s="114" t="str">
        <f t="array" ref="C616">ifs(and(isblank($A616),isblank($B616)),"", not(iserror(vlookup($A616&amp;$B616,'3) Release_Label'!$D:$D&amp;'3) Release_Label'!$E:$E,1,0))),vlookup($A616&amp;$B616,{'3) Release_Label'!$D:$D&amp;'3) Release_Label'!$E:$E,'3) Release_Label'!$F:$F},2,0),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D616" s="114" t="str">
        <f t="array" ref="D616">ifs(and(isblank($A616),isblank($B616)),"", not(iserror(vlookup($A616&amp;$B616,'3) Release_Label'!$D:$D&amp;'3) Release_Label'!$E:$E,1,0))),vlookup($A616&amp;$B616,{'3) Release_Label'!$D:$D&amp;'3) Release_Label'!$E:$E,'3) Release_Label'!$H:$H},2,0),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E616" s="128" t="str">
        <f t="shared" si="3"/>
        <v/>
      </c>
      <c r="G616" s="93"/>
      <c r="H616" s="133"/>
      <c r="J616" s="20"/>
      <c r="K616" s="94"/>
      <c r="L616" s="20"/>
      <c r="N616" s="20"/>
      <c r="O616" s="20"/>
      <c r="P616" s="20"/>
    </row>
    <row r="617">
      <c r="A617" s="28"/>
      <c r="B617" s="93"/>
      <c r="C617" s="114" t="str">
        <f t="array" ref="C617">ifs(and(isblank($A617),isblank($B617)),"", not(iserror(vlookup($A617&amp;$B617,'3) Release_Label'!$D:$D&amp;'3) Release_Label'!$E:$E,1,0))),vlookup($A617&amp;$B617,{'3) Release_Label'!$D:$D&amp;'3) Release_Label'!$E:$E,'3) Release_Label'!$F:$F},2,0),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D617" s="114" t="str">
        <f t="array" ref="D617">ifs(and(isblank($A617),isblank($B617)),"", not(iserror(vlookup($A617&amp;$B617,'3) Release_Label'!$D:$D&amp;'3) Release_Label'!$E:$E,1,0))),vlookup($A617&amp;$B617,{'3) Release_Label'!$D:$D&amp;'3) Release_Label'!$E:$E,'3) Release_Label'!$H:$H},2,0),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E617" s="128" t="str">
        <f t="shared" si="3"/>
        <v/>
      </c>
      <c r="G617" s="93"/>
      <c r="H617" s="133"/>
      <c r="J617" s="20"/>
      <c r="K617" s="94"/>
      <c r="L617" s="20"/>
      <c r="N617" s="20"/>
      <c r="O617" s="20"/>
      <c r="P617" s="20"/>
    </row>
  </sheetData>
  <mergeCells count="1">
    <mergeCell ref="C4:D4"/>
  </mergeCells>
  <conditionalFormatting sqref="A1:B1">
    <cfRule type="cellIs" dxfId="3" priority="1" operator="notEqual">
      <formula>0</formula>
    </cfRule>
  </conditionalFormatting>
  <conditionalFormatting sqref="H5:H617">
    <cfRule type="expression" dxfId="0" priority="2">
      <formula>REGEXMATCH(H5,"(?i)[\(\[\{\-][ ]*(feat|ft|explic|dirt|single|ep|video|acoustic)| feat(ur|\.| )| ft|f\/|w\/")</formula>
    </cfRule>
  </conditionalFormatting>
  <conditionalFormatting sqref="J5:J617">
    <cfRule type="expression" dxfId="0" priority="3">
      <formula>and(not(isblank(J5)),iserror(match(J5,indirect("'Reference info'!k:k"),0)))</formula>
    </cfRule>
  </conditionalFormatting>
  <conditionalFormatting sqref="K5:K617">
    <cfRule type="expression" dxfId="0" priority="4">
      <formula>and(not(isblank(H5)),K5&lt;&gt;"YES",K5&lt;&gt;"NO")</formula>
    </cfRule>
  </conditionalFormatting>
  <conditionalFormatting sqref="L5:L617">
    <cfRule type="expression" dxfId="0" priority="5">
      <formula>and(not(isblank(H5)),L5&lt;&gt;"Original",L5&lt;&gt;"Public domain")</formula>
    </cfRule>
  </conditionalFormatting>
  <conditionalFormatting sqref="F5:F617">
    <cfRule type="expression" dxfId="3" priority="6">
      <formula>and(countif(F:F,F5)&gt;countif(H:H,H5),H5&lt;&gt;"")</formula>
    </cfRule>
  </conditionalFormatting>
  <conditionalFormatting sqref="M5:M617">
    <cfRule type="expression" dxfId="3" priority="7">
      <formula>and(countif(M:M,M5)&gt;countif(H:H,H5),H5&lt;&gt;"")</formula>
    </cfRule>
  </conditionalFormatting>
  <conditionalFormatting sqref="N5:N617">
    <cfRule type="expression" dxfId="0" priority="8">
      <formula>and(not(isblank(M5)),N5&lt;&gt;"wav",N5&lt;&gt;"flac")</formula>
    </cfRule>
  </conditionalFormatting>
  <conditionalFormatting sqref="O5:P617">
    <cfRule type="expression" dxfId="0" priority="9">
      <formula>and(O5&lt;&gt;"",or(INT(O5)&lt;&gt;O5,O5&lt;0))</formula>
    </cfRule>
  </conditionalFormatting>
  <conditionalFormatting sqref="G5:G617">
    <cfRule type="expression" dxfId="3" priority="10">
      <formula>and(countif(G:G,G5)&gt;countif(H:H,H5),H5&lt;&gt;"")</formula>
    </cfRule>
  </conditionalFormatting>
  <conditionalFormatting sqref="F5:F617">
    <cfRule type="expression" dxfId="5" priority="11">
      <formula>and(F5&lt;&gt;"",G5&lt;&gt;"",countif(F:F,F5)&lt;&gt;countif(G:G,G5))</formula>
    </cfRule>
  </conditionalFormatting>
  <conditionalFormatting sqref="G5:G617">
    <cfRule type="expression" dxfId="5" priority="12">
      <formula>and(F5&lt;&gt;"",G5&lt;&gt;"",countif(F:F,F5)&lt;&gt;countif(G:G,G5))</formula>
    </cfRule>
  </conditionalFormatting>
  <conditionalFormatting sqref="A5:A617">
    <cfRule type="expression" dxfId="5" priority="13">
      <formula>and(B5&lt;&gt;"",A5&lt;&gt;"",countif(A:A,A5)&lt;&gt;countif(B:B,B5))</formula>
    </cfRule>
  </conditionalFormatting>
  <conditionalFormatting sqref="B5:B617">
    <cfRule type="expression" dxfId="5" priority="14">
      <formula>and(B5&lt;&gt;"",A5&lt;&gt;"",countif(A:A,A5)&lt;&gt;countif(B:B,B5))</formula>
    </cfRule>
  </conditionalFormatting>
  <conditionalFormatting sqref="F5:F617">
    <cfRule type="expression" dxfId="3" priority="15">
      <formula>or(and(A5&lt;&gt;"",F5&lt;&gt;"",A5=A6,F5=F6),and(#REF!&lt;&gt;"",#REF!&lt;&gt;"",A5=#REF!,F5=#REF!))</formula>
    </cfRule>
  </conditionalFormatting>
  <conditionalFormatting sqref="G5:G617">
    <cfRule type="expression" dxfId="3" priority="16">
      <formula>or(and(B5&lt;&gt;"",G5&lt;&gt;"",B5=B6,G5=G6),and(#REF!&lt;&gt;"",#REF!&lt;&gt;"",B5=#REF!,G5=#REF!))</formula>
    </cfRule>
  </conditionalFormatting>
  <conditionalFormatting sqref="H5:H617">
    <cfRule type="expression" dxfId="0" priority="17">
      <formula>and(not(isblank(H5)),H5=#REF!,I5=#REF!,J5=#REF!,K5=#REF!)</formula>
    </cfRule>
  </conditionalFormatting>
  <dataValidations>
    <dataValidation type="list" allowBlank="1" showInputMessage="1" showErrorMessage="1" prompt="select from list, start typing or drag" sqref="J5:J617">
      <formula1>Language</formula1>
    </dataValidation>
    <dataValidation type="list" allowBlank="1" showInputMessage="1" showErrorMessage="1" prompt="select from list, start typing or drag" sqref="L5:L617">
      <formula1>"Original,Public domain"</formula1>
    </dataValidation>
    <dataValidation type="list" allowBlank="1" showInputMessage="1" showErrorMessage="1" prompt="select from list, start typing or drag" sqref="K5:K617">
      <formula1>"YES,NO"</formula1>
    </dataValidation>
    <dataValidation type="custom" allowBlank="1" showDropDown="1" showInputMessage="1" showErrorMessage="1" prompt="must contain 2 letters, 3 character minimum, 20 character maximum, alphanumeric ONLY (letter or number; no dashes, spaces, punctuation marks, etc.)" sqref="B5:B617 G5:G617">
      <formula1>and(regexmatch(B5,"^[a-zA-Z0-9]*$"), len(B5)&gt;=3, len(B5)&lt;=20)</formula1>
    </dataValidation>
    <dataValidation type="custom" allowBlank="1" showDropDown="1" showInputMessage="1" showErrorMessage="1" prompt="Enter a valid UPC/EAN/JAN" sqref="A5:A617">
      <formula1>and(INT(A5)=A5,A5&gt;9999999999)</formula1>
    </dataValidation>
    <dataValidation type="custom" allowBlank="1" showDropDown="1" showInputMessage="1" showErrorMessage="1" prompt="Enter a valid number of seconds" sqref="O5:P617">
      <formula1>and(INT(O5)=O5,O5&gt;=0)</formula1>
    </dataValidation>
    <dataValidation type="list" allowBlank="1" showInputMessage="1" showErrorMessage="1" prompt="select from list, start typing or drag" sqref="N5:N617">
      <formula1>"wav,flac"</formula1>
    </dataValidation>
  </dataValidations>
  <hyperlinks>
    <hyperlink r:id="rId2" ref="M5"/>
    <hyperlink r:id="rId3" ref="M6"/>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5.5"/>
    <col customWidth="1" min="3" max="3" width="28.75"/>
    <col customWidth="1" min="4" max="4" width="14.5"/>
    <col customWidth="1" min="5" max="5" width="31.75"/>
    <col customWidth="1" min="6" max="6" width="18.0"/>
    <col customWidth="1" min="7" max="7" width="26.63"/>
    <col customWidth="1" min="8" max="8" width="32.5"/>
    <col customWidth="1" min="9" max="9" width="21.88"/>
    <col customWidth="1" min="10" max="10" width="8.38"/>
    <col customWidth="1" min="11" max="11" width="16.0"/>
    <col customWidth="1" min="12" max="12" width="12.13"/>
    <col customWidth="1" min="13" max="13" width="12.75"/>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IFERROR(__xludf.DUMMYFUNCTION("COUNTUNIQUE(A5:A393)-'5) Release_Track'!F1"),0.0)</f>
        <v>0</v>
      </c>
      <c r="B1" s="13">
        <f>IFERROR(__xludf.DUMMYFUNCTION("COUNTUNIQUE(B5:B393)-'5) Release_Track'!G1"),0.0)</f>
        <v>0</v>
      </c>
      <c r="C1" s="95" t="s">
        <v>94</v>
      </c>
      <c r="D1" s="96"/>
      <c r="E1" s="13">
        <f>IFERROR(__xludf.DUMMYFUNCTION("COUNTUNIQUE(E5:E393)"),2.0)</f>
        <v>2</v>
      </c>
      <c r="F1" s="22" t="s">
        <v>27</v>
      </c>
      <c r="G1" s="18">
        <f>IFERROR(__xludf.DUMMYFUNCTION("countif(F:F,""Main Primary Artist"")-arrayformula(COUNTUNIQUE('5) Release_Track'!F5:F393&amp;'5) Release_Track'!G5:G393))"),0.0)</f>
        <v>0</v>
      </c>
      <c r="H1" s="97" t="s">
        <v>29</v>
      </c>
      <c r="I1" s="134"/>
    </row>
    <row r="2">
      <c r="A2" s="101" t="s">
        <v>137</v>
      </c>
      <c r="B2" s="102"/>
      <c r="C2" s="135"/>
      <c r="D2" s="135"/>
      <c r="E2" s="135"/>
      <c r="F2" s="135"/>
      <c r="G2" s="61"/>
      <c r="H2" s="34"/>
      <c r="I2" s="136" t="s">
        <v>138</v>
      </c>
    </row>
    <row r="3">
      <c r="A3" s="118" t="s">
        <v>110</v>
      </c>
      <c r="B3" s="69" t="s">
        <v>111</v>
      </c>
      <c r="C3" s="137" t="s">
        <v>112</v>
      </c>
      <c r="D3" s="137" t="s">
        <v>113</v>
      </c>
      <c r="E3" s="104" t="s">
        <v>96</v>
      </c>
      <c r="F3" s="104" t="s">
        <v>97</v>
      </c>
      <c r="G3" s="105" t="s">
        <v>98</v>
      </c>
      <c r="H3" s="18">
        <f>IFERROR(__xludf.DUMMYFUNCTION("if(iserror(filter(A:B,G:G=""Producer &amp; Engineer"")),0, countunique(filter(A:B,G:G=""Producer &amp; Engineer"")))-arrayformula(COUNTUNIQUE('5) Release_Track'!F5:F393&amp;'5) Release_Track'!G5:G393))"),0.0)</f>
        <v>0</v>
      </c>
      <c r="I3" s="138" t="s">
        <v>139</v>
      </c>
    </row>
    <row r="4">
      <c r="A4" s="78" t="s">
        <v>140</v>
      </c>
      <c r="B4" s="139" t="s">
        <v>140</v>
      </c>
      <c r="C4" s="106" t="s">
        <v>141</v>
      </c>
      <c r="E4" s="107" t="s">
        <v>142</v>
      </c>
      <c r="F4" s="35" t="s">
        <v>79</v>
      </c>
      <c r="G4" s="108" t="s">
        <v>102</v>
      </c>
      <c r="H4" s="109"/>
      <c r="I4" s="140" t="s">
        <v>143</v>
      </c>
      <c r="J4" s="28"/>
    </row>
    <row r="5">
      <c r="A5" s="8" t="s">
        <v>130</v>
      </c>
      <c r="B5" s="93"/>
      <c r="C5" s="111" t="str">
        <f t="array" ref="C5">ifs(and(isblank($A5),isblank($B5)),"", not(iserror(vlookup($A5&amp;$B5,'5) Release_Track'!$F:$F&amp;'5) Release_Track'!$G:$G,1,0))),vlookup($A5&amp;$B5,{'5) Release_Track'!$F:$F&amp;'5) Release_Track'!$G:$G,'5) Release_Track'!$H:$H},2,0),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Receba</v>
      </c>
      <c r="D5" s="111" t="str">
        <f t="array" ref="D5">ifs(and(isblank($A5),isblank($B5)),"", not(iserror(vlookup($A5&amp;$B5,'5) Release_Track'!$F:$F&amp;'5) Release_Track'!$G:$G,1,0))),vlookup($A5&amp;$B5,{'5) Release_Track'!$F:$F&amp;'5) Release_Track'!$G:$G,'5) Release_Track'!$I:$I},2,0),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Extended</v>
      </c>
      <c r="E5" s="43" t="s">
        <v>44</v>
      </c>
      <c r="F5" s="88" t="s">
        <v>103</v>
      </c>
      <c r="G5" s="112" t="str">
        <f t="array" ref="G5">ifs(or($F5="",$F5="Main Primary Artist"),$F5,not(iserror(vlookup($F5,'Reference info'!$J$5:$J$8,1,0))),"Key Artist",not(iserror(vlookup($F5,'Reference info'!$J$38:$J$405,1,0))),"Performer",not(iserror(vlookup($F5,'Reference info'!$J$10:$J$36,1,0))),"Producer &amp; Engineer")</f>
        <v>Main Primary Artist</v>
      </c>
      <c r="H5" s="8" t="str">
        <f>"update Artists set ReleasesCount=(select count (distinct ReleaseId) from Releases where ArtistId=(select max(ArtistId) from Artists where Name=N'"&amp;E5&amp;"' and EnterpriseId="&amp;EntId&amp;")), 
TracksCount=(select count (distinct TrackId) from Tracks where ArtistId=(select max(ArtistId) from Artists where Name=N'"&amp;E5&amp;"' and EnterpriseId="&amp;EntId&amp;")) where ArtistId=(select max(ArtistId) from Artists where Name=N'"&amp;E5&amp;"' and EnterpriseId="&amp;EntId&amp;");"</f>
        <v>update Artists set ReleasesCount=(select count (distinct ReleaseId) from Releases where ArtistId=(select max(ArtistId) from Artists where Name=N'JKZ' and EnterpriseId=414849)), 
TracksCount=(select count (distinct TrackId) from Tracks where ArtistId=(select max(ArtistId) from Artists where Name=N'JKZ' and EnterpriseId=414849)) where ArtistId=(select max(ArtistId) from Artists where Name=N'JKZ' and EnterpriseId=414849);</v>
      </c>
      <c r="J5" s="141"/>
    </row>
    <row r="6">
      <c r="A6" s="8" t="s">
        <v>130</v>
      </c>
      <c r="B6" s="93"/>
      <c r="C6" s="111" t="str">
        <f t="array" ref="C6">ifs(and(isblank($A6),isblank($B6)),"", not(iserror(vlookup($A6&amp;$B6,'5) Release_Track'!$F:$F&amp;'5) Release_Track'!$G:$G,1,0))),vlookup($A6&amp;$B6,{'5) Release_Track'!$F:$F&amp;'5) Release_Track'!$G:$G,'5) Release_Track'!$H:$H},2,0),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Receba</v>
      </c>
      <c r="D6" s="111" t="str">
        <f t="array" ref="D6">ifs(and(isblank($A6),isblank($B6)),"", not(iserror(vlookup($A6&amp;$B6,'5) Release_Track'!$F:$F&amp;'5) Release_Track'!$G:$G,1,0))),vlookup($A6&amp;$B6,{'5) Release_Track'!$F:$F&amp;'5) Release_Track'!$G:$G,'5) Release_Track'!$I:$I},2,0),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Extended</v>
      </c>
      <c r="E6" s="43" t="s">
        <v>44</v>
      </c>
      <c r="F6" s="88" t="s">
        <v>104</v>
      </c>
      <c r="G6" s="112" t="str">
        <f t="array" ref="G6">ifs(or($F6="",$F6="Main Primary Artist"),$F6,not(iserror(vlookup($F6,'Reference info'!$J$5:$J$8,1,0))),"Key Artist",not(iserror(vlookup($F6,'Reference info'!$J$38:$J$405,1,0))),"Performer",not(iserror(vlookup($F6,'Reference info'!$J$10:$J$36,1,0))),"Producer &amp; Engineer")</f>
        <v>Producer &amp; Engineer</v>
      </c>
      <c r="H6" s="138"/>
      <c r="J6" s="141" t="str">
        <f>IF(F6="Main Primary Artist","update Tracks set ArtistId=(select ArtistId from Artists where Name=N'"&amp;Substitute(Trim(E6),"'","''")&amp;"' and EnterpriseId="&amp;EntId&amp;") where "&amp;IF(A6&lt;&gt;"", "ISRC='"&amp;A6&amp;"'", "TrackVendorId='"&amp;Substitute(Trim(B6),"'","''")&amp;"'")&amp;" and EnterpriseId="&amp;EntId,"INSERT into Contributors VALUES (newid(), "&amp;IF(F6&lt;&gt;"Primary Artist", "(select RoleId from ContributorRoles where Name='"&amp;F6&amp;"'), 0", "49, 1")&amp; ", (select max(TrackId) from Tracks where "&amp;IF(A6&lt;&gt;"", "ISRC='"&amp;A6&amp;"'", "TrackVendorId='"&amp;Substitute(Trim(B6),"'","''")&amp;"'")&amp;" and EnterpriseId="&amp;EntId&amp;"), null, (select ArtistId from Artists where Name=N'"&amp;SUBSTITUTE(trim(E6),"'","''")&amp;"' and EnterpriseId="&amp;EntId&amp;"), null)")</f>
        <v>INSERT into Contributors VALUES (newid(), (select RoleId from ContributorRoles where Name='Producer'), 0, (select max(TrackId) from Tracks where ISRC='QZW9M2221000' and EnterpriseId=414849), null, (select ArtistId from Artists where Name=N'JKZ' and EnterpriseId=414849), null)</v>
      </c>
    </row>
    <row r="7">
      <c r="A7" s="8" t="s">
        <v>130</v>
      </c>
      <c r="B7" s="93"/>
      <c r="C7" s="111" t="str">
        <f t="array" ref="C7">ifs(and(isblank($A7),isblank($B7)),"", not(iserror(vlookup($A7&amp;$B7,'5) Release_Track'!$F:$F&amp;'5) Release_Track'!$G:$G,1,0))),vlookup($A7&amp;$B7,{'5) Release_Track'!$F:$F&amp;'5) Release_Track'!$G:$G,'5) Release_Track'!$H:$H},2,0), or(and(not(isblank($B7)),$B7=#REF!,$A7&lt;&gt;#REF!),and(not(isblank($A7)),$A7=#REF!,$B7&lt;&gt;#REF!)),"ID LISTS UNALIGNED",and($A7&lt;&gt;"",countif('5) Release_Track'!$F:$F,$A7)=0),"NO ISRC MATCH in Release_Track",and($B7&lt;&gt;"",countif('5) Release_Track'!$G:$G,$B7)=0),"NO CATALOG ID MATCH in Release_Track",iserror(vlookup($A7&amp;$B7,'5) Release_Track'!$F:$F&amp;'5) Release_Track'!$G:$G,1,0)),"NO ISRC-CATALOG ID pair MATCH in Release_Track" )</f>
        <v>Receba</v>
      </c>
      <c r="D7" s="111" t="str">
        <f t="array" ref="D7">ifs(and(isblank($A7),isblank($B7)),"", not(iserror(vlookup($A7&amp;$B7,'5) Release_Track'!$F:$F&amp;'5) Release_Track'!$G:$G,1,0))),vlookup($A7&amp;$B7,{'5) Release_Track'!$F:$F&amp;'5) Release_Track'!$G:$G,'5) Release_Track'!$I:$I},2,0), or(and(not(isblank($B7)),$B7=#REF!,$A7&lt;&gt;#REF!),and(not(isblank($A7)),$A7=#REF!,$B7&lt;&gt;#REF!)),"ID LISTS UNALIGNED",and($A7&lt;&gt;"",countif('5) Release_Track'!$F:$F,$A7)=0),"NO ISRC MATCH in Release_Track",and($B7&lt;&gt;"",countif('5) Release_Track'!$G:$G,$B7)=0),"NO CATALOG ID MATCH in Release_Track",iserror(vlookup($A7&amp;$B7,'5) Release_Track'!$F:$F&amp;'5) Release_Track'!$G:$G,1,0)),"NO ISRC-CATALOG ID pair MATCH in Release_Track" )</f>
        <v>Extended</v>
      </c>
      <c r="E7" s="43" t="s">
        <v>44</v>
      </c>
      <c r="F7" s="88" t="s">
        <v>106</v>
      </c>
      <c r="G7" s="112" t="str">
        <f t="array" ref="G7">ifs(or($F7="",$F7="Main Primary Artist"),$F7,not(iserror(vlookup($F7,'Reference info'!$J$5:$J$8,1,0))),"Key Artist",not(iserror(vlookup($F7,'Reference info'!$J$38:$J$405,1,0))),"Performer",not(iserror(vlookup($F7,'Reference info'!$J$10:$J$36,1,0))),"Producer &amp; Engineer")</f>
        <v>Producer &amp; Engineer</v>
      </c>
      <c r="H7" s="140"/>
      <c r="J7" s="141" t="str">
        <f>IF(F7="Main Primary Artist","update Tracks set ArtistId=(select ArtistId from Artists where Name=N'"&amp;Substitute(Trim(E7),"'","''")&amp;"' and EnterpriseId="&amp;EntId&amp;") where "&amp;IF(A7&lt;&gt;"", "ISRC='"&amp;A7&amp;"'", "TrackVendorId='"&amp;Substitute(Trim(B7),"'","''")&amp;"'")&amp;" and EnterpriseId="&amp;EntId,"INSERT into Contributors VALUES (newid(), "&amp;IF(F7&lt;&gt;"Primary Artist", "(select RoleId from ContributorRoles where Name='"&amp;F7&amp;"'), 0", "49, 1")&amp; ", (select max(TrackId) from Tracks where "&amp;IF(A7&lt;&gt;"", "ISRC='"&amp;A7&amp;"'", "TrackVendorId='"&amp;Substitute(Trim(B7),"'","''")&amp;"'")&amp;" and EnterpriseId="&amp;EntId&amp;"), null, (select ArtistId from Artists where Name=N'"&amp;SUBSTITUTE(trim(E7),"'","''")&amp;"' and EnterpriseId="&amp;EntId&amp;"), null)")</f>
        <v>INSERT into Contributors VALUES (newid(), (select RoleId from ContributorRoles where Name='Engineer'), 0, (select max(TrackId) from Tracks where ISRC='QZW9M2221000' and EnterpriseId=414849), null, (select ArtistId from Artists where Name=N'JKZ' and EnterpriseId=414849), null)</v>
      </c>
    </row>
    <row r="8">
      <c r="A8" s="8" t="s">
        <v>135</v>
      </c>
      <c r="B8" s="93"/>
      <c r="C8" s="111" t="str">
        <f t="array" ref="C8">ifs(and(isblank($A8),isblank($B8)),"", not(iserror(vlookup($A8&amp;$B8,'5) Release_Track'!$F:$F&amp;'5) Release_Track'!$G:$G,1,0))),vlookup($A8&amp;$B8,{'5) Release_Track'!$F:$F&amp;'5) Release_Track'!$G:$G,'5) Release_Track'!$H:$H},2,0), or(and(not(isblank($B8)),$B8=#REF!,$A8&lt;&gt;#REF!),and(not(isblank($A8)),$A8=#REF!,$B8&lt;&gt;#REF!)),"ID LISTS UNALIGNED",and($A8&lt;&gt;"",countif('5) Release_Track'!$F:$F,$A8)=0),"NO ISRC MATCH in Release_Track",and($B8&lt;&gt;"",countif('5) Release_Track'!$G:$G,$B8)=0),"NO CATALOG ID MATCH in Release_Track",iserror(vlookup($A8&amp;$B8,'5) Release_Track'!$F:$F&amp;'5) Release_Track'!$G:$G,1,0)),"NO ISRC-CATALOG ID pair MATCH in Release_Track" )</f>
        <v>A Cláusula do Contrato</v>
      </c>
      <c r="D8" s="111" t="str">
        <f t="array" ref="D8">ifs(and(isblank($A8),isblank($B8)),"", not(iserror(vlookup($A8&amp;$B8,'5) Release_Track'!$F:$F&amp;'5) Release_Track'!$G:$G,1,0))),vlookup($A8&amp;$B8,{'5) Release_Track'!$F:$F&amp;'5) Release_Track'!$G:$G,'5) Release_Track'!$I:$I},2,0), or(and(not(isblank($B8)),$B8=#REF!,$A8&lt;&gt;#REF!),and(not(isblank($A8)),$A8=#REF!,$B8&lt;&gt;#REF!)),"ID LISTS UNALIGNED",and($A8&lt;&gt;"",countif('5) Release_Track'!$F:$F,$A8)=0),"NO ISRC MATCH in Release_Track",and($B8&lt;&gt;"",countif('5) Release_Track'!$G:$G,$B8)=0),"NO CATALOG ID MATCH in Release_Track",iserror(vlookup($A8&amp;$B8,'5) Release_Track'!$F:$F&amp;'5) Release_Track'!$G:$G,1,0)),"NO ISRC-CATALOG ID pair MATCH in Release_Track" )</f>
        <v/>
      </c>
      <c r="E8" s="43" t="s">
        <v>47</v>
      </c>
      <c r="F8" s="88" t="s">
        <v>104</v>
      </c>
      <c r="G8" s="112" t="str">
        <f t="array" ref="G8">ifs(or($F8="",$F8="Main Primary Artist"),$F8,not(iserror(vlookup($F8,'Reference info'!$J$5:$J$8,1,0))),"Key Artist",not(iserror(vlookup($F8,'Reference info'!$J$38:$J$405,1,0))),"Performer",not(iserror(vlookup($F8,'Reference info'!$J$10:$J$36,1,0))),"Producer &amp; Engineer")</f>
        <v>Producer &amp; Engineer</v>
      </c>
      <c r="J8" s="141" t="str">
        <f>IF(F8="Main Primary Artist","update Tracks set ArtistId=(select ArtistId from Artists where Name=N'"&amp;Substitute(Trim(E8),"'","''")&amp;"' and EnterpriseId="&amp;EntId&amp;") where "&amp;IF(A8&lt;&gt;"", "ISRC='"&amp;A8&amp;"'", "TrackVendorId='"&amp;Substitute(Trim(B8),"'","''")&amp;"'")&amp;" and EnterpriseId="&amp;EntId,"INSERT into Contributors VALUES (newid(), "&amp;IF(F8&lt;&gt;"Primary Artist", "(select RoleId from ContributorRoles where Name='"&amp;F8&amp;"'), 0", "49, 1")&amp; ", (select max(TrackId) from Tracks where "&amp;IF(A8&lt;&gt;"", "ISRC='"&amp;A8&amp;"'", "TrackVendorId='"&amp;Substitute(Trim(B8),"'","''")&amp;"'")&amp;" and EnterpriseId="&amp;EntId&amp;"), null, (select ArtistId from Artists where Name=N'"&amp;SUBSTITUTE(trim(E8),"'","''")&amp;"' and EnterpriseId="&amp;EntId&amp;"), null)")</f>
        <v>INSERT into Contributors VALUES (newid(), (select RoleId from ContributorRoles where Name='Producer'), 0, (select max(TrackId) from Tracks where ISRC='QZW9M2236571' and EnterpriseId=414849), null, (select ArtistId from Artists where Name=N'Flash Beats Manow' and EnterpriseId=414849), null)</v>
      </c>
    </row>
    <row r="9">
      <c r="A9" s="8" t="s">
        <v>135</v>
      </c>
      <c r="B9" s="93"/>
      <c r="C9" s="111" t="str">
        <f t="array" ref="C9">ifs(and(isblank($A9),isblank($B9)),"", not(iserror(vlookup($A9&amp;$B9,'5) Release_Track'!$F:$F&amp;'5) Release_Track'!$G:$G,1,0))),vlookup($A9&amp;$B9,{'5) Release_Track'!$F:$F&amp;'5) Release_Track'!$G:$G,'5) Release_Track'!$H:$H},2,0), or(and(not(isblank($B9)),$B9=#REF!,$A9&lt;&gt;#REF!),and(not(isblank($A9)),$A9=#REF!,$B9&lt;&gt;#REF!)),"ID LISTS UNALIGNED",and($A9&lt;&gt;"",countif('5) Release_Track'!$F:$F,$A9)=0),"NO ISRC MATCH in Release_Track",and($B9&lt;&gt;"",countif('5) Release_Track'!$G:$G,$B9)=0),"NO CATALOG ID MATCH in Release_Track",iserror(vlookup($A9&amp;$B9,'5) Release_Track'!$F:$F&amp;'5) Release_Track'!$G:$G,1,0)),"NO ISRC-CATALOG ID pair MATCH in Release_Track" )</f>
        <v>A Cláusula do Contrato</v>
      </c>
      <c r="D9" s="111" t="str">
        <f t="array" ref="D9">ifs(and(isblank($A9),isblank($B9)),"", not(iserror(vlookup($A9&amp;$B9,'5) Release_Track'!$F:$F&amp;'5) Release_Track'!$G:$G,1,0))),vlookup($A9&amp;$B9,{'5) Release_Track'!$F:$F&amp;'5) Release_Track'!$G:$G,'5) Release_Track'!$I:$I},2,0), or(and(not(isblank($B9)),$B9=#REF!,$A9&lt;&gt;#REF!),and(not(isblank($A9)),$A9=#REF!,$B9&lt;&gt;#REF!)),"ID LISTS UNALIGNED",and($A9&lt;&gt;"",countif('5) Release_Track'!$F:$F,$A9)=0),"NO ISRC MATCH in Release_Track",and($B9&lt;&gt;"",countif('5) Release_Track'!$G:$G,$B9)=0),"NO CATALOG ID MATCH in Release_Track",iserror(vlookup($A9&amp;$B9,'5) Release_Track'!$F:$F&amp;'5) Release_Track'!$G:$G,1,0)),"NO ISRC-CATALOG ID pair MATCH in Release_Track" )</f>
        <v/>
      </c>
      <c r="E9" s="43" t="s">
        <v>47</v>
      </c>
      <c r="F9" s="88" t="s">
        <v>103</v>
      </c>
      <c r="G9" s="112" t="str">
        <f t="array" ref="G9">ifs(or($F9="",$F9="Main Primary Artist"),$F9,not(iserror(vlookup($F9,'Reference info'!$J$5:$J$8,1,0))),"Key Artist",not(iserror(vlookup($F9,'Reference info'!$J$38:$J$405,1,0))),"Performer",not(iserror(vlookup($F9,'Reference info'!$J$10:$J$36,1,0))),"Producer &amp; Engineer")</f>
        <v>Main Primary Artist</v>
      </c>
      <c r="H9" s="8" t="str">
        <f>"update Artists set ReleasesCount=(select count (distinct ReleaseId) from Releases where ArtistId=(select max(ArtistId) from Artists where Name=N'"&amp;E9&amp;"' and EnterpriseId="&amp;EntId&amp;")), 
TracksCount=(select count (distinct TrackId) from Tracks where ArtistId=(select max(ArtistId) from Artists where Name=N'"&amp;E9&amp;"' and EnterpriseId="&amp;EntId&amp;")) where ArtistId=(select max(ArtistId) from Artists where Name=N'"&amp;E9&amp;"' and EnterpriseId="&amp;EntId&amp;");"</f>
        <v>update Artists set ReleasesCount=(select count (distinct ReleaseId) from Releases where ArtistId=(select max(ArtistId) from Artists where Name=N'Flash Beats Manow' and EnterpriseId=414849)), 
TracksCount=(select count (distinct TrackId) from Tracks where ArtistId=(select max(ArtistId) from Artists where Name=N'Flash Beats Manow' and EnterpriseId=414849)) where ArtistId=(select max(ArtistId) from Artists where Name=N'Flash Beats Manow' and EnterpriseId=414849);</v>
      </c>
      <c r="J9" s="141" t="str">
        <f>IF(F9="Main Primary Artist","update Tracks set ArtistId=(select ArtistId from Artists where Name=N'"&amp;Substitute(Trim(E9),"'","''")&amp;"' and EnterpriseId="&amp;EntId&amp;") where "&amp;IF(A9&lt;&gt;"", "ISRC='"&amp;A9&amp;"'", "TrackVendorId='"&amp;Substitute(Trim(B9),"'","''")&amp;"'")&amp;" and EnterpriseId="&amp;EntId,"INSERT into Contributors VALUES (newid(), "&amp;IF(F9&lt;&gt;"Primary Artist", "(select RoleId from ContributorRoles where Name='"&amp;F9&amp;"'), 0", "49, 1")&amp; ", (select max(TrackId) from Tracks where "&amp;IF(A9&lt;&gt;"", "ISRC='"&amp;A9&amp;"'", "TrackVendorId='"&amp;Substitute(Trim(B9),"'","''")&amp;"'")&amp;" and EnterpriseId="&amp;EntId&amp;"), null, (select ArtistId from Artists where Name=N'"&amp;SUBSTITUTE(trim(E9),"'","''")&amp;"' and EnterpriseId="&amp;EntId&amp;"), null)")</f>
        <v>update Tracks set ArtistId=(select ArtistId from Artists where Name=N'Flash Beats Manow' and EnterpriseId=414849) where ISRC='QZW9M2236571' and EnterpriseId=414849</v>
      </c>
    </row>
    <row r="10">
      <c r="A10" s="8" t="s">
        <v>135</v>
      </c>
      <c r="B10" s="93"/>
      <c r="C10" s="111" t="str">
        <f t="array" ref="C10">ifs(and(isblank($A10),isblank($B10)),"", not(iserror(vlookup($A10&amp;$B10,'5) Release_Track'!$F:$F&amp;'5) Release_Track'!$G:$G,1,0))),vlookup($A10&amp;$B10,{'5) Release_Track'!$F:$F&amp;'5) Release_Track'!$G:$G,'5) Release_Track'!$H:$H},2,0), or(and(not(isblank($B10)),$B10=#REF!,$A10&lt;&gt;#REF!),and(not(isblank($A10)),$A10=#REF!,$B10&lt;&gt;#REF!)),"ID LISTS UNALIGNED",and($A10&lt;&gt;"",countif('5) Release_Track'!$F:$F,$A10)=0),"NO ISRC MATCH in Release_Track",and($B10&lt;&gt;"",countif('5) Release_Track'!$G:$G,$B10)=0),"NO CATALOG ID MATCH in Release_Track",iserror(vlookup($A10&amp;$B10,'5) Release_Track'!$F:$F&amp;'5) Release_Track'!$G:$G,1,0)),"NO ISRC-CATALOG ID pair MATCH in Release_Track" )</f>
        <v>A Cláusula do Contrato</v>
      </c>
      <c r="D10" s="111" t="str">
        <f t="array" ref="D10">ifs(and(isblank($A10),isblank($B10)),"", not(iserror(vlookup($A10&amp;$B10,'5) Release_Track'!$F:$F&amp;'5) Release_Track'!$G:$G,1,0))),vlookup($A10&amp;$B10,{'5) Release_Track'!$F:$F&amp;'5) Release_Track'!$G:$G,'5) Release_Track'!$I:$I},2,0), or(and(not(isblank($B10)),$B10=#REF!,$A10&lt;&gt;#REF!),and(not(isblank($A10)),$A10=#REF!,$B10&lt;&gt;#REF!)),"ID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43" t="s">
        <v>47</v>
      </c>
      <c r="F10" s="88" t="s">
        <v>106</v>
      </c>
      <c r="G10" s="112" t="str">
        <f t="array" ref="G10">ifs(or($F10="",$F10="Main Primary Artist"),$F10,not(iserror(vlookup($F10,'Reference info'!$J$5:$J$8,1,0))),"Key Artist",not(iserror(vlookup($F10,'Reference info'!$J$38:$J$405,1,0))),"Performer",not(iserror(vlookup($F10,'Reference info'!$J$10:$J$36,1,0))),"Producer &amp; Engineer")</f>
        <v>Producer &amp; Engineer</v>
      </c>
      <c r="J10" s="141" t="str">
        <f>IF(F10="Main Primary Artist","update Tracks set ArtistId=(select ArtistId from Artists where Name=N'"&amp;Substitute(Trim(E10),"'","''")&amp;"' and EnterpriseId="&amp;EntId&amp;") where "&amp;IF(A10&lt;&gt;"", "ISRC='"&amp;A10&amp;"'", "TrackVendorId='"&amp;Substitute(Trim(B10),"'","''")&amp;"'")&amp;" and EnterpriseId="&amp;EntId,"INSERT into Contributors VALUES (newid(), "&amp;IF(F10&lt;&gt;"Primary Artist", "(select RoleId from ContributorRoles where Name='"&amp;F10&amp;"'), 0", "49, 1")&amp; ", (select max(TrackId) from Tracks where "&amp;IF(A10&lt;&gt;"", "ISRC='"&amp;A10&amp;"'", "TrackVendorId='"&amp;Substitute(Trim(B10),"'","''")&amp;"'")&amp;" and EnterpriseId="&amp;EntId&amp;"), null, (select ArtistId from Artists where Name=N'"&amp;SUBSTITUTE(trim(E10),"'","''")&amp;"' and EnterpriseId="&amp;EntId&amp;"), null)")</f>
        <v>INSERT into Contributors VALUES (newid(), (select RoleId from ContributorRoles where Name='Engineer'), 0, (select max(TrackId) from Tracks where ISRC='QZW9M2236571' and EnterpriseId=414849), null, (select ArtistId from Artists where Name=N'Flash Beats Manow' and EnterpriseId=414849), null)</v>
      </c>
    </row>
    <row r="11">
      <c r="B11" s="93"/>
      <c r="C11" s="111" t="str">
        <f t="array" ref="C11">ifs(and(isblank($A11),isblank($B11)),"", not(iserror(vlookup($A11&amp;$B11,'5) Release_Track'!$F:$F&amp;'5) Release_Track'!$G:$G,1,0))),vlookup($A11&amp;$B11,{'5) Release_Track'!$F:$F&amp;'5) Release_Track'!$G:$G,'5) Release_Track'!$H:$H},2,0), or(and(not(isblank($B11)),$B11=#REF!,$A11&lt;&gt;#REF!),and(not(isblank($A11)),$A11=#REF!,$B11&lt;&gt;#REF!)),"ID LISTS UNALIGNED",and($A11&lt;&gt;"",countif('5) Release_Track'!$F:$F,$A11)=0),"NO ISRC MATCH in Release_Track",and($B11&lt;&gt;"",countif('5) Release_Track'!$G:$G,$B11)=0),"NO CATALOG ID MATCH in Release_Track",iserror(vlookup($A11&amp;$B11,'5) Release_Track'!$F:$F&amp;'5) Release_Track'!$G:$G,1,0)),"NO ISRC-CATALOG ID pair MATCH in Release_Track" )</f>
        <v/>
      </c>
      <c r="D11" s="111" t="str">
        <f t="array" ref="D11">ifs(and(isblank($A11),isblank($B11)),"", not(iserror(vlookup($A11&amp;$B11,'5) Release_Track'!$F:$F&amp;'5) Release_Track'!$G:$G,1,0))),vlookup($A11&amp;$B11,{'5) Release_Track'!$F:$F&amp;'5) Release_Track'!$G:$G,'5) Release_Track'!$I:$I},2,0), or(and(not(isblank($B11)),$B11=#REF!,$A11&lt;&gt;#REF!),and(not(isblank($A11)),$A11=#REF!,$B11&lt;&gt;#REF!)),"ID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20"/>
      <c r="F11" s="20"/>
      <c r="G11" s="142" t="str">
        <f t="array" ref="G11">ifs(or($F11="",$F11="Main Primary Artist"),$F11,not(iserror(vlookup($F11,'Reference info'!$J$5:$J$8,1,0))),"Key Artist",not(iserror(vlookup($F11,'Reference info'!$J$38:$J$405,1,0))),"Performer",not(iserror(vlookup($F11,'Reference info'!$J$10:$J$36,1,0))),"Producer &amp; Engineer")</f>
        <v/>
      </c>
    </row>
    <row r="12">
      <c r="B12" s="93"/>
      <c r="C12" s="11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D12" s="11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20"/>
      <c r="F12" s="20"/>
      <c r="G12" s="142" t="str">
        <f t="array" ref="G12">ifs(or($F12="",$F12="Main Primary Artist"),$F12,not(iserror(vlookup($F12,'Reference info'!$J$5:$J$8,1,0))),"Key Artist",not(iserror(vlookup($F12,'Reference info'!$J$38:$J$405,1,0))),"Performer",not(iserror(vlookup($F12,'Reference info'!$J$10:$J$36,1,0))),"Producer &amp; Engineer")</f>
        <v/>
      </c>
    </row>
    <row r="13">
      <c r="B13" s="93"/>
      <c r="C13" s="11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D13" s="11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20"/>
      <c r="F13" s="20"/>
      <c r="G13" s="142" t="str">
        <f t="array" ref="G13">ifs(or($F13="",$F13="Main Primary Artist"),$F13,not(iserror(vlookup($F13,'Reference info'!$J$5:$J$8,1,0))),"Key Artist",not(iserror(vlookup($F13,'Reference info'!$J$38:$J$405,1,0))),"Performer",not(iserror(vlookup($F13,'Reference info'!$J$10:$J$36,1,0))),"Producer &amp; Engineer")</f>
        <v/>
      </c>
    </row>
    <row r="14">
      <c r="B14" s="93"/>
      <c r="C14" s="11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D14" s="11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20"/>
      <c r="F14" s="20"/>
      <c r="G14" s="142" t="str">
        <f t="array" ref="G14">ifs(or($F14="",$F14="Main Primary Artist"),$F14,not(iserror(vlookup($F14,'Reference info'!$J$5:$J$8,1,0))),"Key Artist",not(iserror(vlookup($F14,'Reference info'!$J$38:$J$405,1,0))),"Performer",not(iserror(vlookup($F14,'Reference info'!$J$10:$J$36,1,0))),"Producer &amp; Engineer")</f>
        <v/>
      </c>
    </row>
    <row r="15">
      <c r="B15" s="93"/>
      <c r="C15" s="11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D15" s="11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20"/>
      <c r="F15" s="20"/>
      <c r="G15" s="142" t="str">
        <f t="array" ref="G15">ifs(or($F15="",$F15="Main Primary Artist"),$F15,not(iserror(vlookup($F15,'Reference info'!$J$5:$J$8,1,0))),"Key Artist",not(iserror(vlookup($F15,'Reference info'!$J$38:$J$405,1,0))),"Performer",not(iserror(vlookup($F15,'Reference info'!$J$10:$J$36,1,0))),"Producer &amp; Engineer")</f>
        <v/>
      </c>
    </row>
    <row r="16">
      <c r="B16" s="93"/>
      <c r="C16" s="11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D16" s="11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20"/>
      <c r="F16" s="20"/>
      <c r="G16" s="142" t="str">
        <f t="array" ref="G16">ifs(or($F16="",$F16="Main Primary Artist"),$F16,not(iserror(vlookup($F16,'Reference info'!$J$5:$J$8,1,0))),"Key Artist",not(iserror(vlookup($F16,'Reference info'!$J$38:$J$405,1,0))),"Performer",not(iserror(vlookup($F16,'Reference info'!$J$10:$J$36,1,0))),"Producer &amp; Engineer")</f>
        <v/>
      </c>
    </row>
    <row r="17">
      <c r="B17" s="93"/>
      <c r="C17" s="11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D17" s="11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20"/>
      <c r="F17" s="20"/>
      <c r="G17" s="142" t="str">
        <f t="array" ref="G17">ifs(or($F17="",$F17="Main Primary Artist"),$F17,not(iserror(vlookup($F17,'Reference info'!$J$5:$J$8,1,0))),"Key Artist",not(iserror(vlookup($F17,'Reference info'!$J$38:$J$405,1,0))),"Performer",not(iserror(vlookup($F17,'Reference info'!$J$10:$J$36,1,0))),"Producer &amp; Engineer")</f>
        <v/>
      </c>
    </row>
    <row r="18">
      <c r="B18" s="93"/>
      <c r="C18" s="11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D18" s="11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20"/>
      <c r="F18" s="20"/>
      <c r="G18" s="142" t="str">
        <f t="array" ref="G18">ifs(or($F18="",$F18="Main Primary Artist"),$F18,not(iserror(vlookup($F18,'Reference info'!$J$5:$J$8,1,0))),"Key Artist",not(iserror(vlookup($F18,'Reference info'!$J$38:$J$405,1,0))),"Performer",not(iserror(vlookup($F18,'Reference info'!$J$10:$J$36,1,0))),"Producer &amp; Engineer")</f>
        <v/>
      </c>
    </row>
    <row r="19">
      <c r="B19" s="93"/>
      <c r="C19" s="111"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D19" s="111"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20"/>
      <c r="F19" s="20"/>
      <c r="G19" s="142" t="str">
        <f t="array" ref="G19">ifs(or($F19="",$F19="Main Primary Artist"),$F19,not(iserror(vlookup($F19,'Reference info'!$J$5:$J$8,1,0))),"Key Artist",not(iserror(vlookup($F19,'Reference info'!$J$38:$J$405,1,0))),"Performer",not(iserror(vlookup($F19,'Reference info'!$J$10:$J$36,1,0))),"Producer &amp; Engineer")</f>
        <v/>
      </c>
    </row>
    <row r="20">
      <c r="B20" s="93"/>
      <c r="C20" s="11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D20" s="111"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20"/>
      <c r="F20" s="20"/>
      <c r="G20" s="142" t="str">
        <f t="array" ref="G20">ifs(or($F20="",$F20="Main Primary Artist"),$F20,not(iserror(vlookup($F20,'Reference info'!$J$5:$J$8,1,0))),"Key Artist",not(iserror(vlookup($F20,'Reference info'!$J$38:$J$405,1,0))),"Performer",not(iserror(vlookup($F20,'Reference info'!$J$10:$J$36,1,0))),"Producer &amp; Engineer")</f>
        <v/>
      </c>
    </row>
    <row r="21">
      <c r="B21" s="93"/>
      <c r="C21" s="111"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D21" s="111"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20"/>
      <c r="F21" s="20"/>
      <c r="G21" s="142" t="str">
        <f t="array" ref="G21">ifs(or($F21="",$F21="Main Primary Artist"),$F21,not(iserror(vlookup($F21,'Reference info'!$J$5:$J$8,1,0))),"Key Artist",not(iserror(vlookup($F21,'Reference info'!$J$38:$J$405,1,0))),"Performer",not(iserror(vlookup($F21,'Reference info'!$J$10:$J$36,1,0))),"Producer &amp; Engineer")</f>
        <v/>
      </c>
    </row>
    <row r="22">
      <c r="B22" s="93"/>
      <c r="C22" s="11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D22" s="11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20"/>
      <c r="F22" s="20"/>
      <c r="G22" s="142" t="str">
        <f t="array" ref="G22">ifs(or($F22="",$F22="Main Primary Artist"),$F22,not(iserror(vlookup($F22,'Reference info'!$J$5:$J$8,1,0))),"Key Artist",not(iserror(vlookup($F22,'Reference info'!$J$38:$J$405,1,0))),"Performer",not(iserror(vlookup($F22,'Reference info'!$J$10:$J$36,1,0))),"Producer &amp; Engineer")</f>
        <v/>
      </c>
    </row>
    <row r="23">
      <c r="B23" s="93"/>
      <c r="C23" s="11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D23" s="11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20"/>
      <c r="F23" s="20"/>
      <c r="G23" s="142" t="str">
        <f t="array" ref="G23">ifs(or($F23="",$F23="Main Primary Artist"),$F23,not(iserror(vlookup($F23,'Reference info'!$J$5:$J$8,1,0))),"Key Artist",not(iserror(vlookup($F23,'Reference info'!$J$38:$J$405,1,0))),"Performer",not(iserror(vlookup($F23,'Reference info'!$J$10:$J$36,1,0))),"Producer &amp; Engineer")</f>
        <v/>
      </c>
    </row>
    <row r="24">
      <c r="B24" s="93"/>
      <c r="C24" s="11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D24" s="11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20"/>
      <c r="F24" s="20"/>
      <c r="G24" s="142" t="str">
        <f t="array" ref="G24">ifs(or($F24="",$F24="Main Primary Artist"),$F24,not(iserror(vlookup($F24,'Reference info'!$J$5:$J$8,1,0))),"Key Artist",not(iserror(vlookup($F24,'Reference info'!$J$38:$J$405,1,0))),"Performer",not(iserror(vlookup($F24,'Reference info'!$J$10:$J$36,1,0))),"Producer &amp; Engineer")</f>
        <v/>
      </c>
    </row>
    <row r="25">
      <c r="B25" s="93"/>
      <c r="C25" s="11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D25" s="11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20"/>
      <c r="F25" s="20"/>
      <c r="G25" s="142" t="str">
        <f t="array" ref="G25">ifs(or($F25="",$F25="Main Primary Artist"),$F25,not(iserror(vlookup($F25,'Reference info'!$J$5:$J$8,1,0))),"Key Artist",not(iserror(vlookup($F25,'Reference info'!$J$38:$J$405,1,0))),"Performer",not(iserror(vlookup($F25,'Reference info'!$J$10:$J$36,1,0))),"Producer &amp; Engineer")</f>
        <v/>
      </c>
    </row>
    <row r="26">
      <c r="B26" s="93"/>
      <c r="C26" s="11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D26" s="11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20"/>
      <c r="F26" s="20"/>
      <c r="G26" s="142" t="str">
        <f t="array" ref="G26">ifs(or($F26="",$F26="Main Primary Artist"),$F26,not(iserror(vlookup($F26,'Reference info'!$J$5:$J$8,1,0))),"Key Artist",not(iserror(vlookup($F26,'Reference info'!$J$38:$J$405,1,0))),"Performer",not(iserror(vlookup($F26,'Reference info'!$J$10:$J$36,1,0))),"Producer &amp; Engineer")</f>
        <v/>
      </c>
    </row>
    <row r="27">
      <c r="B27" s="93"/>
      <c r="C27" s="11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D27" s="11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20"/>
      <c r="F27" s="20"/>
      <c r="G27" s="142" t="str">
        <f t="array" ref="G27">ifs(or($F27="",$F27="Main Primary Artist"),$F27,not(iserror(vlookup($F27,'Reference info'!$J$5:$J$8,1,0))),"Key Artist",not(iserror(vlookup($F27,'Reference info'!$J$38:$J$405,1,0))),"Performer",not(iserror(vlookup($F27,'Reference info'!$J$10:$J$36,1,0))),"Producer &amp; Engineer")</f>
        <v/>
      </c>
    </row>
    <row r="28">
      <c r="B28" s="93"/>
      <c r="C28" s="11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D28" s="11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20"/>
      <c r="F28" s="20"/>
      <c r="G28" s="142" t="str">
        <f t="array" ref="G28">ifs(or($F28="",$F28="Main Primary Artist"),$F28,not(iserror(vlookup($F28,'Reference info'!$J$5:$J$8,1,0))),"Key Artist",not(iserror(vlookup($F28,'Reference info'!$J$38:$J$405,1,0))),"Performer",not(iserror(vlookup($F28,'Reference info'!$J$10:$J$36,1,0))),"Producer &amp; Engineer")</f>
        <v/>
      </c>
    </row>
    <row r="29">
      <c r="B29" s="93"/>
      <c r="C29" s="111"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D29" s="111"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20"/>
      <c r="F29" s="20"/>
      <c r="G29" s="142" t="str">
        <f t="array" ref="G29">ifs(or($F29="",$F29="Main Primary Artist"),$F29,not(iserror(vlookup($F29,'Reference info'!$J$5:$J$8,1,0))),"Key Artist",not(iserror(vlookup($F29,'Reference info'!$J$38:$J$405,1,0))),"Performer",not(iserror(vlookup($F29,'Reference info'!$J$10:$J$36,1,0))),"Producer &amp; Engineer")</f>
        <v/>
      </c>
    </row>
    <row r="30">
      <c r="B30" s="93"/>
      <c r="C30" s="11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D30" s="11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20"/>
      <c r="F30" s="20"/>
      <c r="G30" s="142" t="str">
        <f t="array" ref="G30">ifs(or($F30="",$F30="Main Primary Artist"),$F30,not(iserror(vlookup($F30,'Reference info'!$J$5:$J$8,1,0))),"Key Artist",not(iserror(vlookup($F30,'Reference info'!$J$38:$J$405,1,0))),"Performer",not(iserror(vlookup($F30,'Reference info'!$J$10:$J$36,1,0))),"Producer &amp; Engineer")</f>
        <v/>
      </c>
    </row>
    <row r="31">
      <c r="B31" s="93"/>
      <c r="C31" s="11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D31" s="11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20"/>
      <c r="F31" s="20"/>
      <c r="G31" s="142" t="str">
        <f t="array" ref="G31">ifs(or($F31="",$F31="Main Primary Artist"),$F31,not(iserror(vlookup($F31,'Reference info'!$J$5:$J$8,1,0))),"Key Artist",not(iserror(vlookup($F31,'Reference info'!$J$38:$J$405,1,0))),"Performer",not(iserror(vlookup($F31,'Reference info'!$J$10:$J$36,1,0))),"Producer &amp; Engineer")</f>
        <v/>
      </c>
    </row>
    <row r="32">
      <c r="B32" s="93"/>
      <c r="C32" s="11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D32" s="11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20"/>
      <c r="F32" s="20"/>
      <c r="G32" s="142" t="str">
        <f t="array" ref="G32">ifs(or($F32="",$F32="Main Primary Artist"),$F32,not(iserror(vlookup($F32,'Reference info'!$J$5:$J$8,1,0))),"Key Artist",not(iserror(vlookup($F32,'Reference info'!$J$38:$J$405,1,0))),"Performer",not(iserror(vlookup($F32,'Reference info'!$J$10:$J$36,1,0))),"Producer &amp; Engineer")</f>
        <v/>
      </c>
    </row>
    <row r="33">
      <c r="B33" s="93"/>
      <c r="C33" s="11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D33" s="11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20"/>
      <c r="F33" s="20"/>
      <c r="G33" s="142" t="str">
        <f t="array" ref="G33">ifs(or($F33="",$F33="Main Primary Artist"),$F33,not(iserror(vlookup($F33,'Reference info'!$J$5:$J$8,1,0))),"Key Artist",not(iserror(vlookup($F33,'Reference info'!$J$38:$J$405,1,0))),"Performer",not(iserror(vlookup($F33,'Reference info'!$J$10:$J$36,1,0))),"Producer &amp; Engineer")</f>
        <v/>
      </c>
    </row>
    <row r="34">
      <c r="B34" s="93"/>
      <c r="C34" s="11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D34" s="11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20"/>
      <c r="F34" s="20"/>
      <c r="G34" s="142" t="str">
        <f t="array" ref="G34">ifs(or($F34="",$F34="Main Primary Artist"),$F34,not(iserror(vlookup($F34,'Reference info'!$J$5:$J$8,1,0))),"Key Artist",not(iserror(vlookup($F34,'Reference info'!$J$38:$J$405,1,0))),"Performer",not(iserror(vlookup($F34,'Reference info'!$J$10:$J$36,1,0))),"Producer &amp; Engineer")</f>
        <v/>
      </c>
    </row>
    <row r="35">
      <c r="B35" s="93"/>
      <c r="C35" s="11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D35" s="11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20"/>
      <c r="F35" s="20"/>
      <c r="G35" s="142" t="str">
        <f t="array" ref="G35">ifs(or($F35="",$F35="Main Primary Artist"),$F35,not(iserror(vlookup($F35,'Reference info'!$J$5:$J$8,1,0))),"Key Artist",not(iserror(vlookup($F35,'Reference info'!$J$38:$J$405,1,0))),"Performer",not(iserror(vlookup($F35,'Reference info'!$J$10:$J$36,1,0))),"Producer &amp; Engineer")</f>
        <v/>
      </c>
    </row>
    <row r="36">
      <c r="B36" s="93"/>
      <c r="C36" s="11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D36" s="11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20"/>
      <c r="F36" s="20"/>
      <c r="G36" s="142" t="str">
        <f t="array" ref="G36">ifs(or($F36="",$F36="Main Primary Artist"),$F36,not(iserror(vlookup($F36,'Reference info'!$J$5:$J$8,1,0))),"Key Artist",not(iserror(vlookup($F36,'Reference info'!$J$38:$J$405,1,0))),"Performer",not(iserror(vlookup($F36,'Reference info'!$J$10:$J$36,1,0))),"Producer &amp; Engineer")</f>
        <v/>
      </c>
    </row>
    <row r="37">
      <c r="B37" s="93"/>
      <c r="C37" s="11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D37" s="11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20"/>
      <c r="F37" s="20"/>
      <c r="G37" s="142" t="str">
        <f t="array" ref="G37">ifs(or($F37="",$F37="Main Primary Artist"),$F37,not(iserror(vlookup($F37,'Reference info'!$J$5:$J$8,1,0))),"Key Artist",not(iserror(vlookup($F37,'Reference info'!$J$38:$J$405,1,0))),"Performer",not(iserror(vlookup($F37,'Reference info'!$J$10:$J$36,1,0))),"Producer &amp; Engineer")</f>
        <v/>
      </c>
    </row>
    <row r="38">
      <c r="B38" s="93"/>
      <c r="C38" s="11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D38" s="11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20"/>
      <c r="F38" s="20"/>
      <c r="G38" s="142" t="str">
        <f t="array" ref="G38">ifs(or($F38="",$F38="Main Primary Artist"),$F38,not(iserror(vlookup($F38,'Reference info'!$J$5:$J$8,1,0))),"Key Artist",not(iserror(vlookup($F38,'Reference info'!$J$38:$J$405,1,0))),"Performer",not(iserror(vlookup($F38,'Reference info'!$J$10:$J$36,1,0))),"Producer &amp; Engineer")</f>
        <v/>
      </c>
    </row>
    <row r="39">
      <c r="B39" s="93"/>
      <c r="C39" s="11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D39" s="11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20"/>
      <c r="F39" s="20"/>
      <c r="G39" s="142" t="str">
        <f t="array" ref="G39">ifs(or($F39="",$F39="Main Primary Artist"),$F39,not(iserror(vlookup($F39,'Reference info'!$J$5:$J$8,1,0))),"Key Artist",not(iserror(vlookup($F39,'Reference info'!$J$38:$J$405,1,0))),"Performer",not(iserror(vlookup($F39,'Reference info'!$J$10:$J$36,1,0))),"Producer &amp; Engineer")</f>
        <v/>
      </c>
    </row>
    <row r="40">
      <c r="B40" s="93"/>
      <c r="C40" s="11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D40" s="11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20"/>
      <c r="F40" s="20"/>
      <c r="G40" s="142" t="str">
        <f t="array" ref="G40">ifs(or($F40="",$F40="Main Primary Artist"),$F40,not(iserror(vlookup($F40,'Reference info'!$J$5:$J$8,1,0))),"Key Artist",not(iserror(vlookup($F40,'Reference info'!$J$38:$J$405,1,0))),"Performer",not(iserror(vlookup($F40,'Reference info'!$J$10:$J$36,1,0))),"Producer &amp; Engineer")</f>
        <v/>
      </c>
    </row>
    <row r="41">
      <c r="B41" s="93"/>
      <c r="C41" s="11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D41" s="11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20"/>
      <c r="F41" s="20"/>
      <c r="G41" s="142" t="str">
        <f t="array" ref="G41">ifs(or($F41="",$F41="Main Primary Artist"),$F41,not(iserror(vlookup($F41,'Reference info'!$J$5:$J$8,1,0))),"Key Artist",not(iserror(vlookup($F41,'Reference info'!$J$38:$J$405,1,0))),"Performer",not(iserror(vlookup($F41,'Reference info'!$J$10:$J$36,1,0))),"Producer &amp; Engineer")</f>
        <v/>
      </c>
    </row>
    <row r="42">
      <c r="B42" s="93"/>
      <c r="C42" s="11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D42" s="11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20"/>
      <c r="F42" s="20"/>
      <c r="G42" s="142" t="str">
        <f t="array" ref="G42">ifs(or($F42="",$F42="Main Primary Artist"),$F42,not(iserror(vlookup($F42,'Reference info'!$J$5:$J$8,1,0))),"Key Artist",not(iserror(vlookup($F42,'Reference info'!$J$38:$J$405,1,0))),"Performer",not(iserror(vlookup($F42,'Reference info'!$J$10:$J$36,1,0))),"Producer &amp; Engineer")</f>
        <v/>
      </c>
    </row>
    <row r="43">
      <c r="B43" s="93"/>
      <c r="C43" s="11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D43" s="11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20"/>
      <c r="F43" s="20"/>
      <c r="G43" s="142" t="str">
        <f t="array" ref="G43">ifs(or($F43="",$F43="Main Primary Artist"),$F43,not(iserror(vlookup($F43,'Reference info'!$J$5:$J$8,1,0))),"Key Artist",not(iserror(vlookup($F43,'Reference info'!$J$38:$J$405,1,0))),"Performer",not(iserror(vlookup($F43,'Reference info'!$J$10:$J$36,1,0))),"Producer &amp; Engineer")</f>
        <v/>
      </c>
    </row>
    <row r="44">
      <c r="B44" s="93"/>
      <c r="C44" s="11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D44" s="11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20"/>
      <c r="F44" s="20"/>
      <c r="G44" s="142" t="str">
        <f t="array" ref="G44">ifs(or($F44="",$F44="Main Primary Artist"),$F44,not(iserror(vlookup($F44,'Reference info'!$J$5:$J$8,1,0))),"Key Artist",not(iserror(vlookup($F44,'Reference info'!$J$38:$J$405,1,0))),"Performer",not(iserror(vlookup($F44,'Reference info'!$J$10:$J$36,1,0))),"Producer &amp; Engineer")</f>
        <v/>
      </c>
    </row>
    <row r="45">
      <c r="B45" s="93"/>
      <c r="C45" s="11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D45" s="11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20"/>
      <c r="F45" s="20"/>
      <c r="G45" s="142" t="str">
        <f t="array" ref="G45">ifs(or($F45="",$F45="Main Primary Artist"),$F45,not(iserror(vlookup($F45,'Reference info'!$J$5:$J$8,1,0))),"Key Artist",not(iserror(vlookup($F45,'Reference info'!$J$38:$J$405,1,0))),"Performer",not(iserror(vlookup($F45,'Reference info'!$J$10:$J$36,1,0))),"Producer &amp; Engineer")</f>
        <v/>
      </c>
    </row>
    <row r="46">
      <c r="B46" s="93"/>
      <c r="C46" s="11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D46" s="11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20"/>
      <c r="F46" s="20"/>
      <c r="G46" s="142" t="str">
        <f t="array" ref="G46">ifs(or($F46="",$F46="Main Primary Artist"),$F46,not(iserror(vlookup($F46,'Reference info'!$J$5:$J$8,1,0))),"Key Artist",not(iserror(vlookup($F46,'Reference info'!$J$38:$J$405,1,0))),"Performer",not(iserror(vlookup($F46,'Reference info'!$J$10:$J$36,1,0))),"Producer &amp; Engineer")</f>
        <v/>
      </c>
    </row>
    <row r="47">
      <c r="B47" s="93"/>
      <c r="C47" s="11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D47" s="11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20"/>
      <c r="F47" s="20"/>
      <c r="G47" s="142" t="str">
        <f t="array" ref="G47">ifs(or($F47="",$F47="Main Primary Artist"),$F47,not(iserror(vlookup($F47,'Reference info'!$J$5:$J$8,1,0))),"Key Artist",not(iserror(vlookup($F47,'Reference info'!$J$38:$J$405,1,0))),"Performer",not(iserror(vlookup($F47,'Reference info'!$J$10:$J$36,1,0))),"Producer &amp; Engineer")</f>
        <v/>
      </c>
    </row>
    <row r="48">
      <c r="B48" s="93"/>
      <c r="C48" s="11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D48" s="11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20"/>
      <c r="F48" s="20"/>
      <c r="G48" s="142" t="str">
        <f t="array" ref="G48">ifs(or($F48="",$F48="Main Primary Artist"),$F48,not(iserror(vlookup($F48,'Reference info'!$J$5:$J$8,1,0))),"Key Artist",not(iserror(vlookup($F48,'Reference info'!$J$38:$J$405,1,0))),"Performer",not(iserror(vlookup($F48,'Reference info'!$J$10:$J$36,1,0))),"Producer &amp; Engineer")</f>
        <v/>
      </c>
    </row>
    <row r="49">
      <c r="B49" s="93"/>
      <c r="C49" s="11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D49" s="11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20"/>
      <c r="F49" s="20"/>
      <c r="G49" s="142" t="str">
        <f t="array" ref="G49">ifs(or($F49="",$F49="Main Primary Artist"),$F49,not(iserror(vlookup($F49,'Reference info'!$J$5:$J$8,1,0))),"Key Artist",not(iserror(vlookup($F49,'Reference info'!$J$38:$J$405,1,0))),"Performer",not(iserror(vlookup($F49,'Reference info'!$J$10:$J$36,1,0))),"Producer &amp; Engineer")</f>
        <v/>
      </c>
    </row>
    <row r="50">
      <c r="B50" s="93"/>
      <c r="C50" s="111"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D50" s="111"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20"/>
      <c r="F50" s="20"/>
      <c r="G50" s="142" t="str">
        <f t="array" ref="G50">ifs(or($F50="",$F50="Main Primary Artist"),$F50,not(iserror(vlookup($F50,'Reference info'!$J$5:$J$8,1,0))),"Key Artist",not(iserror(vlookup($F50,'Reference info'!$J$38:$J$405,1,0))),"Performer",not(iserror(vlookup($F50,'Reference info'!$J$10:$J$36,1,0))),"Producer &amp; Engineer")</f>
        <v/>
      </c>
    </row>
    <row r="51">
      <c r="B51" s="93"/>
      <c r="C51" s="11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D51" s="11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20"/>
      <c r="F51" s="20"/>
      <c r="G51" s="142" t="str">
        <f t="array" ref="G51">ifs(or($F51="",$F51="Main Primary Artist"),$F51,not(iserror(vlookup($F51,'Reference info'!$J$5:$J$8,1,0))),"Key Artist",not(iserror(vlookup($F51,'Reference info'!$J$38:$J$405,1,0))),"Performer",not(iserror(vlookup($F51,'Reference info'!$J$10:$J$36,1,0))),"Producer &amp; Engineer")</f>
        <v/>
      </c>
    </row>
    <row r="52">
      <c r="B52" s="93"/>
      <c r="C52" s="11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D52" s="11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20"/>
      <c r="F52" s="20"/>
      <c r="G52" s="142" t="str">
        <f t="array" ref="G52">ifs(or($F52="",$F52="Main Primary Artist"),$F52,not(iserror(vlookup($F52,'Reference info'!$J$5:$J$8,1,0))),"Key Artist",not(iserror(vlookup($F52,'Reference info'!$J$38:$J$405,1,0))),"Performer",not(iserror(vlookup($F52,'Reference info'!$J$10:$J$36,1,0))),"Producer &amp; Engineer")</f>
        <v/>
      </c>
    </row>
    <row r="53">
      <c r="B53" s="93"/>
      <c r="C53" s="11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D53" s="11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20"/>
      <c r="F53" s="20"/>
      <c r="G53" s="142" t="str">
        <f t="array" ref="G53">ifs(or($F53="",$F53="Main Primary Artist"),$F53,not(iserror(vlookup($F53,'Reference info'!$J$5:$J$8,1,0))),"Key Artist",not(iserror(vlookup($F53,'Reference info'!$J$38:$J$405,1,0))),"Performer",not(iserror(vlookup($F53,'Reference info'!$J$10:$J$36,1,0))),"Producer &amp; Engineer")</f>
        <v/>
      </c>
    </row>
    <row r="54">
      <c r="B54" s="93"/>
      <c r="C54" s="111"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D54" s="111"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20"/>
      <c r="F54" s="20"/>
      <c r="G54" s="142" t="str">
        <f t="array" ref="G54">ifs(or($F54="",$F54="Main Primary Artist"),$F54,not(iserror(vlookup($F54,'Reference info'!$J$5:$J$8,1,0))),"Key Artist",not(iserror(vlookup($F54,'Reference info'!$J$38:$J$405,1,0))),"Performer",not(iserror(vlookup($F54,'Reference info'!$J$10:$J$36,1,0))),"Producer &amp; Engineer")</f>
        <v/>
      </c>
    </row>
    <row r="55">
      <c r="B55" s="93"/>
      <c r="C55" s="11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D55" s="11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20"/>
      <c r="F55" s="20"/>
      <c r="G55" s="142" t="str">
        <f t="array" ref="G55">ifs(or($F55="",$F55="Main Primary Artist"),$F55,not(iserror(vlookup($F55,'Reference info'!$J$5:$J$8,1,0))),"Key Artist",not(iserror(vlookup($F55,'Reference info'!$J$38:$J$405,1,0))),"Performer",not(iserror(vlookup($F55,'Reference info'!$J$10:$J$36,1,0))),"Producer &amp; Engineer")</f>
        <v/>
      </c>
    </row>
    <row r="56">
      <c r="B56" s="93"/>
      <c r="C56" s="11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D56" s="11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20"/>
      <c r="F56" s="20"/>
      <c r="G56" s="142" t="str">
        <f t="array" ref="G56">ifs(or($F56="",$F56="Main Primary Artist"),$F56,not(iserror(vlookup($F56,'Reference info'!$J$5:$J$8,1,0))),"Key Artist",not(iserror(vlookup($F56,'Reference info'!$J$38:$J$405,1,0))),"Performer",not(iserror(vlookup($F56,'Reference info'!$J$10:$J$36,1,0))),"Producer &amp; Engineer")</f>
        <v/>
      </c>
    </row>
    <row r="57">
      <c r="B57" s="93"/>
      <c r="C57" s="11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D57" s="11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20"/>
      <c r="F57" s="20"/>
      <c r="G57" s="142" t="str">
        <f t="array" ref="G57">ifs(or($F57="",$F57="Main Primary Artist"),$F57,not(iserror(vlookup($F57,'Reference info'!$J$5:$J$8,1,0))),"Key Artist",not(iserror(vlookup($F57,'Reference info'!$J$38:$J$405,1,0))),"Performer",not(iserror(vlookup($F57,'Reference info'!$J$10:$J$36,1,0))),"Producer &amp; Engineer")</f>
        <v/>
      </c>
    </row>
    <row r="58">
      <c r="B58" s="93"/>
      <c r="C58" s="11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D58" s="11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20"/>
      <c r="F58" s="20"/>
      <c r="G58" s="142" t="str">
        <f t="array" ref="G58">ifs(or($F58="",$F58="Main Primary Artist"),$F58,not(iserror(vlookup($F58,'Reference info'!$J$5:$J$8,1,0))),"Key Artist",not(iserror(vlookup($F58,'Reference info'!$J$38:$J$405,1,0))),"Performer",not(iserror(vlookup($F58,'Reference info'!$J$10:$J$36,1,0))),"Producer &amp; Engineer")</f>
        <v/>
      </c>
    </row>
    <row r="59">
      <c r="B59" s="93"/>
      <c r="C59" s="11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D59" s="11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20"/>
      <c r="F59" s="20"/>
      <c r="G59" s="142" t="str">
        <f t="array" ref="G59">ifs(or($F59="",$F59="Main Primary Artist"),$F59,not(iserror(vlookup($F59,'Reference info'!$J$5:$J$8,1,0))),"Key Artist",not(iserror(vlookup($F59,'Reference info'!$J$38:$J$405,1,0))),"Performer",not(iserror(vlookup($F59,'Reference info'!$J$10:$J$36,1,0))),"Producer &amp; Engineer")</f>
        <v/>
      </c>
    </row>
    <row r="60">
      <c r="B60" s="93"/>
      <c r="C60" s="111"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D60" s="111"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20"/>
      <c r="F60" s="20"/>
      <c r="G60" s="142" t="str">
        <f t="array" ref="G60">ifs(or($F60="",$F60="Main Primary Artist"),$F60,not(iserror(vlookup($F60,'Reference info'!$J$5:$J$8,1,0))),"Key Artist",not(iserror(vlookup($F60,'Reference info'!$J$38:$J$405,1,0))),"Performer",not(iserror(vlookup($F60,'Reference info'!$J$10:$J$36,1,0))),"Producer &amp; Engineer")</f>
        <v/>
      </c>
    </row>
    <row r="61">
      <c r="B61" s="93"/>
      <c r="C61" s="11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D61" s="11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20"/>
      <c r="F61" s="20"/>
      <c r="G61" s="142" t="str">
        <f t="array" ref="G61">ifs(or($F61="",$F61="Main Primary Artist"),$F61,not(iserror(vlookup($F61,'Reference info'!$J$5:$J$8,1,0))),"Key Artist",not(iserror(vlookup($F61,'Reference info'!$J$38:$J$405,1,0))),"Performer",not(iserror(vlookup($F61,'Reference info'!$J$10:$J$36,1,0))),"Producer &amp; Engineer")</f>
        <v/>
      </c>
    </row>
    <row r="62">
      <c r="B62" s="93"/>
      <c r="C62" s="11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D62" s="11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20"/>
      <c r="F62" s="20"/>
      <c r="G62" s="142" t="str">
        <f t="array" ref="G62">ifs(or($F62="",$F62="Main Primary Artist"),$F62,not(iserror(vlookup($F62,'Reference info'!$J$5:$J$8,1,0))),"Key Artist",not(iserror(vlookup($F62,'Reference info'!$J$38:$J$405,1,0))),"Performer",not(iserror(vlookup($F62,'Reference info'!$J$10:$J$36,1,0))),"Producer &amp; Engineer")</f>
        <v/>
      </c>
    </row>
    <row r="63">
      <c r="B63" s="93"/>
      <c r="C63" s="11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D63" s="11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20"/>
      <c r="F63" s="20"/>
      <c r="G63" s="142" t="str">
        <f t="array" ref="G63">ifs(or($F63="",$F63="Main Primary Artist"),$F63,not(iserror(vlookup($F63,'Reference info'!$J$5:$J$8,1,0))),"Key Artist",not(iserror(vlookup($F63,'Reference info'!$J$38:$J$405,1,0))),"Performer",not(iserror(vlookup($F63,'Reference info'!$J$10:$J$36,1,0))),"Producer &amp; Engineer")</f>
        <v/>
      </c>
    </row>
    <row r="64">
      <c r="B64" s="93"/>
      <c r="C64" s="11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D64" s="11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20"/>
      <c r="F64" s="20"/>
      <c r="G64" s="142" t="str">
        <f t="array" ref="G64">ifs(or($F64="",$F64="Main Primary Artist"),$F64,not(iserror(vlookup($F64,'Reference info'!$J$5:$J$8,1,0))),"Key Artist",not(iserror(vlookup($F64,'Reference info'!$J$38:$J$405,1,0))),"Performer",not(iserror(vlookup($F64,'Reference info'!$J$10:$J$36,1,0))),"Producer &amp; Engineer")</f>
        <v/>
      </c>
    </row>
    <row r="65">
      <c r="B65" s="93"/>
      <c r="C65" s="11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D65" s="11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20"/>
      <c r="F65" s="20"/>
      <c r="G65" s="142" t="str">
        <f t="array" ref="G65">ifs(or($F65="",$F65="Main Primary Artist"),$F65,not(iserror(vlookup($F65,'Reference info'!$J$5:$J$8,1,0))),"Key Artist",not(iserror(vlookup($F65,'Reference info'!$J$38:$J$405,1,0))),"Performer",not(iserror(vlookup($F65,'Reference info'!$J$10:$J$36,1,0))),"Producer &amp; Engineer")</f>
        <v/>
      </c>
    </row>
    <row r="66">
      <c r="B66" s="93"/>
      <c r="C66" s="11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D66" s="11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20"/>
      <c r="F66" s="20"/>
      <c r="G66" s="142" t="str">
        <f t="array" ref="G66">ifs(or($F66="",$F66="Main Primary Artist"),$F66,not(iserror(vlookup($F66,'Reference info'!$J$5:$J$8,1,0))),"Key Artist",not(iserror(vlookup($F66,'Reference info'!$J$38:$J$405,1,0))),"Performer",not(iserror(vlookup($F66,'Reference info'!$J$10:$J$36,1,0))),"Producer &amp; Engineer")</f>
        <v/>
      </c>
    </row>
    <row r="67">
      <c r="B67" s="93"/>
      <c r="C67" s="11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D67" s="11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20"/>
      <c r="F67" s="20"/>
      <c r="G67" s="142" t="str">
        <f t="array" ref="G67">ifs(or($F67="",$F67="Main Primary Artist"),$F67,not(iserror(vlookup($F67,'Reference info'!$J$5:$J$8,1,0))),"Key Artist",not(iserror(vlookup($F67,'Reference info'!$J$38:$J$405,1,0))),"Performer",not(iserror(vlookup($F67,'Reference info'!$J$10:$J$36,1,0))),"Producer &amp; Engineer")</f>
        <v/>
      </c>
    </row>
    <row r="68">
      <c r="B68" s="93"/>
      <c r="C68" s="11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D68" s="11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20"/>
      <c r="F68" s="20"/>
    </row>
    <row r="69">
      <c r="B69" s="93"/>
      <c r="C69" s="11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D69" s="11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20"/>
      <c r="F69" s="20"/>
    </row>
    <row r="70">
      <c r="B70" s="93"/>
      <c r="C70" s="11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D70" s="11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20"/>
      <c r="F70" s="20"/>
    </row>
    <row r="71">
      <c r="B71" s="93"/>
      <c r="C71" s="11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D71" s="11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20"/>
      <c r="F71" s="20"/>
    </row>
    <row r="72">
      <c r="B72" s="93"/>
      <c r="C72" s="11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D72" s="11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20"/>
      <c r="F72" s="20"/>
    </row>
    <row r="73">
      <c r="B73" s="93"/>
      <c r="C73" s="11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D73" s="11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20"/>
      <c r="F73" s="20"/>
    </row>
    <row r="74">
      <c r="B74" s="93"/>
      <c r="C74" s="11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D74" s="11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20"/>
      <c r="F74" s="20"/>
    </row>
    <row r="75">
      <c r="B75" s="93"/>
      <c r="C75" s="11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D75" s="11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20"/>
      <c r="F75" s="20"/>
    </row>
    <row r="76">
      <c r="B76" s="93"/>
      <c r="C76" s="11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D76" s="11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20"/>
      <c r="F76" s="20"/>
    </row>
    <row r="77">
      <c r="B77" s="93"/>
      <c r="C77" s="11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D77" s="11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20"/>
      <c r="F77" s="20"/>
    </row>
    <row r="78">
      <c r="B78" s="93"/>
      <c r="C78" s="11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D78" s="11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20"/>
      <c r="F78" s="20"/>
    </row>
    <row r="79">
      <c r="B79" s="93"/>
      <c r="C79" s="11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D79" s="11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20"/>
      <c r="F79" s="20"/>
    </row>
    <row r="80">
      <c r="B80" s="93"/>
      <c r="C80" s="11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D80" s="11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20"/>
      <c r="F80" s="20"/>
    </row>
    <row r="81">
      <c r="B81" s="93"/>
      <c r="C81" s="11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D81" s="11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20"/>
      <c r="F81" s="20"/>
    </row>
    <row r="82">
      <c r="B82" s="93"/>
      <c r="C82" s="11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D82" s="11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20"/>
      <c r="F82" s="20"/>
    </row>
    <row r="83">
      <c r="B83" s="93"/>
      <c r="C83" s="11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D83" s="11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20"/>
      <c r="F83" s="20"/>
    </row>
    <row r="84">
      <c r="B84" s="93"/>
      <c r="C84" s="11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D84" s="11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20"/>
      <c r="F84" s="20"/>
    </row>
    <row r="85">
      <c r="B85" s="93"/>
      <c r="C85" s="111"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D85" s="111"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20"/>
      <c r="F85" s="20"/>
    </row>
    <row r="86">
      <c r="B86" s="93"/>
      <c r="C86" s="11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D86" s="11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20"/>
      <c r="F86" s="20"/>
    </row>
    <row r="87">
      <c r="B87" s="93"/>
      <c r="C87" s="11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D87" s="11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20"/>
      <c r="F87" s="20"/>
    </row>
    <row r="88">
      <c r="B88" s="93"/>
      <c r="C88" s="11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D88" s="11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20"/>
      <c r="F88" s="20"/>
    </row>
    <row r="89">
      <c r="B89" s="93"/>
      <c r="C89" s="111"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D89" s="111"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20"/>
      <c r="F89" s="20"/>
    </row>
    <row r="90">
      <c r="B90" s="93"/>
      <c r="C90" s="11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D90" s="11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20"/>
      <c r="F90" s="20"/>
    </row>
    <row r="91">
      <c r="B91" s="93"/>
      <c r="C91" s="11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D91" s="11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20"/>
      <c r="F91" s="20"/>
    </row>
    <row r="92">
      <c r="B92" s="93"/>
      <c r="C92" s="111"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D92" s="111"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20"/>
      <c r="F92" s="20"/>
    </row>
    <row r="93">
      <c r="B93" s="93"/>
      <c r="C93" s="11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D93" s="11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20"/>
      <c r="F93" s="20"/>
    </row>
    <row r="94">
      <c r="B94" s="93"/>
      <c r="C94" s="11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D94" s="11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20"/>
      <c r="F94" s="20"/>
    </row>
    <row r="95">
      <c r="B95" s="93"/>
      <c r="C95" s="11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D95" s="11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20"/>
      <c r="F95" s="20"/>
    </row>
    <row r="96">
      <c r="B96" s="93"/>
      <c r="C96" s="11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1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20"/>
      <c r="F96" s="20"/>
    </row>
    <row r="97">
      <c r="B97" s="93"/>
      <c r="C97" s="11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1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20"/>
      <c r="F97" s="20"/>
    </row>
    <row r="98">
      <c r="B98" s="93"/>
      <c r="C98" s="11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1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20"/>
      <c r="F98" s="20"/>
    </row>
    <row r="99">
      <c r="B99" s="93"/>
      <c r="C99" s="11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1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20"/>
      <c r="F99" s="20"/>
    </row>
    <row r="100">
      <c r="B100" s="93"/>
      <c r="C100" s="11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1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20"/>
      <c r="F100" s="20"/>
    </row>
    <row r="101">
      <c r="B101" s="93"/>
      <c r="C101" s="11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1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20"/>
      <c r="F101" s="20"/>
    </row>
    <row r="102">
      <c r="B102" s="93"/>
      <c r="C102" s="11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1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20"/>
      <c r="F102" s="20"/>
    </row>
    <row r="103">
      <c r="B103" s="93"/>
      <c r="C103" s="11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1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20"/>
      <c r="F103" s="20"/>
    </row>
    <row r="104">
      <c r="B104" s="93"/>
      <c r="C104" s="11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1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20"/>
      <c r="F104" s="20"/>
    </row>
    <row r="105">
      <c r="B105" s="93"/>
      <c r="C105" s="11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1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20"/>
      <c r="F105" s="20"/>
    </row>
    <row r="106">
      <c r="B106" s="93"/>
      <c r="C106" s="11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1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20"/>
      <c r="F106" s="20"/>
    </row>
    <row r="107">
      <c r="B107" s="93"/>
      <c r="C107" s="11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1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20"/>
      <c r="F107" s="20"/>
    </row>
    <row r="108">
      <c r="B108" s="93"/>
      <c r="C108" s="11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1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20"/>
      <c r="F108" s="20"/>
    </row>
    <row r="109">
      <c r="B109" s="93"/>
      <c r="C109" s="11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1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20"/>
      <c r="F109" s="20"/>
    </row>
    <row r="110">
      <c r="B110" s="93"/>
      <c r="C110" s="11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1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20"/>
      <c r="F110" s="20"/>
    </row>
    <row r="111">
      <c r="B111" s="93"/>
      <c r="C111" s="11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1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20"/>
      <c r="F111" s="20"/>
    </row>
    <row r="112">
      <c r="B112" s="93"/>
      <c r="C112" s="11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1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20"/>
      <c r="F112" s="20"/>
    </row>
    <row r="113">
      <c r="B113" s="93"/>
      <c r="C113" s="11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1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20"/>
      <c r="F113" s="20"/>
    </row>
    <row r="114">
      <c r="B114" s="93"/>
      <c r="C114" s="11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1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20"/>
      <c r="F114" s="20"/>
    </row>
    <row r="115">
      <c r="B115" s="93"/>
      <c r="C115" s="11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1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20"/>
      <c r="F115" s="20"/>
    </row>
    <row r="116">
      <c r="B116" s="93"/>
      <c r="C116" s="11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1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20"/>
      <c r="F116" s="20"/>
    </row>
    <row r="117">
      <c r="B117" s="93"/>
      <c r="C117" s="11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1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20"/>
      <c r="F117" s="20"/>
    </row>
    <row r="118">
      <c r="B118" s="93"/>
      <c r="C118" s="11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1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20"/>
      <c r="F118" s="20"/>
    </row>
    <row r="119">
      <c r="B119" s="93"/>
      <c r="C119" s="11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1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20"/>
      <c r="F119" s="20"/>
    </row>
    <row r="120">
      <c r="B120" s="93"/>
      <c r="C120" s="11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1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20"/>
      <c r="F120" s="20"/>
    </row>
    <row r="121">
      <c r="B121" s="93"/>
      <c r="C121" s="11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1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20"/>
      <c r="F121" s="20"/>
    </row>
    <row r="122">
      <c r="B122" s="93"/>
      <c r="C122" s="11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1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20"/>
      <c r="F122" s="20"/>
    </row>
    <row r="123">
      <c r="B123" s="93"/>
      <c r="C123" s="11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1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20"/>
      <c r="F123" s="20"/>
    </row>
    <row r="124">
      <c r="B124" s="93"/>
      <c r="C124" s="11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1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20"/>
      <c r="F124" s="20"/>
    </row>
    <row r="125">
      <c r="B125" s="93"/>
      <c r="C125" s="11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1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20"/>
      <c r="F125" s="20"/>
    </row>
    <row r="126">
      <c r="B126" s="93"/>
      <c r="C126" s="11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1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20"/>
      <c r="F126" s="20"/>
    </row>
    <row r="127">
      <c r="B127" s="93"/>
      <c r="C127" s="11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1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20"/>
      <c r="F127" s="20"/>
    </row>
    <row r="128">
      <c r="B128" s="93"/>
      <c r="C128" s="11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1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20"/>
      <c r="F128" s="20"/>
    </row>
    <row r="129">
      <c r="B129" s="93"/>
      <c r="C129" s="11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1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20"/>
      <c r="F129" s="20"/>
    </row>
    <row r="130">
      <c r="B130" s="93"/>
      <c r="C130" s="11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1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20"/>
      <c r="F130" s="20"/>
    </row>
    <row r="131">
      <c r="B131" s="93"/>
      <c r="C131" s="11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1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20"/>
      <c r="F131" s="20"/>
    </row>
    <row r="132">
      <c r="B132" s="93"/>
      <c r="C132" s="11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1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20"/>
      <c r="F132" s="20"/>
    </row>
    <row r="133">
      <c r="B133" s="93"/>
      <c r="C133" s="11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1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20"/>
      <c r="F133" s="20"/>
    </row>
    <row r="134">
      <c r="B134" s="93"/>
      <c r="C134" s="11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1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20"/>
      <c r="F134" s="20"/>
    </row>
    <row r="135">
      <c r="B135" s="93"/>
      <c r="C135" s="11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1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20"/>
      <c r="F135" s="20"/>
    </row>
    <row r="136">
      <c r="B136" s="93"/>
      <c r="C136" s="11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1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20"/>
      <c r="F136" s="20"/>
    </row>
    <row r="137">
      <c r="B137" s="93"/>
      <c r="C137" s="11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1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20"/>
      <c r="F137" s="20"/>
    </row>
    <row r="138">
      <c r="B138" s="93"/>
      <c r="C138" s="11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1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20"/>
      <c r="F138" s="20"/>
    </row>
    <row r="139">
      <c r="B139" s="93"/>
      <c r="C139" s="11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1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20"/>
      <c r="F139" s="20"/>
    </row>
    <row r="140">
      <c r="B140" s="93"/>
      <c r="C140" s="11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1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20"/>
      <c r="F140" s="20"/>
    </row>
    <row r="141">
      <c r="B141" s="93"/>
      <c r="C141" s="11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1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20"/>
      <c r="F141" s="20"/>
    </row>
    <row r="142">
      <c r="B142" s="93"/>
      <c r="C142" s="11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1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20"/>
      <c r="F142" s="20"/>
    </row>
    <row r="143">
      <c r="B143" s="93"/>
      <c r="C143" s="11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1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20"/>
      <c r="F143" s="20"/>
    </row>
    <row r="144">
      <c r="B144" s="93"/>
      <c r="C144" s="11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1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20"/>
      <c r="F144" s="20"/>
    </row>
    <row r="145">
      <c r="B145" s="93"/>
      <c r="C145" s="11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1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20"/>
      <c r="F145" s="20"/>
    </row>
    <row r="146">
      <c r="B146" s="93"/>
      <c r="C146" s="11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1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20"/>
      <c r="F146" s="20"/>
    </row>
    <row r="147">
      <c r="B147" s="93"/>
      <c r="C147" s="11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1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20"/>
      <c r="F147" s="20"/>
    </row>
    <row r="148">
      <c r="B148" s="93"/>
      <c r="C148" s="11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1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20"/>
      <c r="F148" s="20"/>
    </row>
    <row r="149">
      <c r="B149" s="93"/>
      <c r="C149" s="11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1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20"/>
      <c r="F149" s="20"/>
    </row>
    <row r="150">
      <c r="B150" s="93"/>
      <c r="C150" s="11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1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20"/>
      <c r="F150" s="20"/>
    </row>
    <row r="151">
      <c r="B151" s="93"/>
      <c r="C151" s="11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1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20"/>
      <c r="F151" s="20"/>
    </row>
    <row r="152">
      <c r="B152" s="93"/>
      <c r="C152" s="11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1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20"/>
      <c r="F152" s="20"/>
    </row>
    <row r="153">
      <c r="B153" s="93"/>
      <c r="C153" s="11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1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20"/>
      <c r="F153" s="20"/>
    </row>
    <row r="154">
      <c r="B154" s="93"/>
      <c r="C154" s="11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1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20"/>
      <c r="F154" s="20"/>
    </row>
    <row r="155">
      <c r="B155" s="93"/>
      <c r="C155" s="11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1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20"/>
      <c r="F155" s="20"/>
    </row>
    <row r="156">
      <c r="B156" s="93"/>
      <c r="C156" s="11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1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20"/>
      <c r="F156" s="20"/>
    </row>
    <row r="157">
      <c r="B157" s="93"/>
      <c r="C157" s="11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1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20"/>
      <c r="F157" s="20"/>
    </row>
    <row r="158">
      <c r="B158" s="93"/>
      <c r="C158" s="11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1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20"/>
      <c r="F158" s="20"/>
    </row>
    <row r="159">
      <c r="B159" s="93"/>
      <c r="C159" s="11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1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20"/>
      <c r="F159" s="20"/>
    </row>
    <row r="160">
      <c r="B160" s="93"/>
      <c r="C160" s="11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1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20"/>
      <c r="F160" s="20"/>
    </row>
    <row r="161">
      <c r="B161" s="93"/>
      <c r="C161" s="11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1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20"/>
      <c r="F161" s="20"/>
    </row>
    <row r="162">
      <c r="B162" s="93"/>
      <c r="C162" s="11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1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20"/>
      <c r="F162" s="20"/>
    </row>
    <row r="163">
      <c r="B163" s="93"/>
      <c r="C163" s="11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1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20"/>
      <c r="F163" s="20"/>
    </row>
    <row r="164">
      <c r="B164" s="93"/>
      <c r="C164" s="11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1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20"/>
      <c r="F164" s="20"/>
    </row>
    <row r="165">
      <c r="B165" s="93"/>
      <c r="C165" s="11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1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20"/>
      <c r="F165" s="20"/>
    </row>
    <row r="166">
      <c r="B166" s="93"/>
      <c r="C166" s="11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1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20"/>
      <c r="F166" s="20"/>
    </row>
    <row r="167">
      <c r="B167" s="93"/>
      <c r="C167" s="11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1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20"/>
      <c r="F167" s="20"/>
    </row>
    <row r="168">
      <c r="B168" s="93"/>
      <c r="C168" s="111"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11"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20"/>
      <c r="F168" s="20"/>
    </row>
    <row r="169">
      <c r="B169" s="93"/>
      <c r="C169" s="11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1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20"/>
      <c r="F169" s="20"/>
    </row>
    <row r="170">
      <c r="B170" s="93"/>
      <c r="C170" s="11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1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20"/>
      <c r="F170" s="20"/>
    </row>
    <row r="171">
      <c r="B171" s="93"/>
      <c r="C171" s="11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1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20"/>
      <c r="F171" s="20"/>
    </row>
    <row r="172">
      <c r="B172" s="93"/>
      <c r="C172" s="11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1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20"/>
      <c r="F172" s="20"/>
    </row>
    <row r="173">
      <c r="B173" s="93"/>
      <c r="C173" s="11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1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20"/>
      <c r="F173" s="20"/>
    </row>
    <row r="174">
      <c r="B174" s="93"/>
      <c r="C174" s="11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1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20"/>
      <c r="F174" s="20"/>
    </row>
    <row r="175">
      <c r="B175" s="93"/>
      <c r="C175" s="11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1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20"/>
      <c r="F175" s="20"/>
    </row>
    <row r="176">
      <c r="B176" s="93"/>
      <c r="C176" s="11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1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20"/>
      <c r="F176" s="20"/>
    </row>
    <row r="177">
      <c r="B177" s="93"/>
      <c r="C177" s="11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1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20"/>
      <c r="F177" s="20"/>
    </row>
    <row r="178">
      <c r="B178" s="93"/>
      <c r="C178" s="111"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1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20"/>
      <c r="F178" s="20"/>
    </row>
    <row r="179">
      <c r="B179" s="93"/>
      <c r="C179" s="111"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1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20"/>
      <c r="F179" s="20"/>
    </row>
    <row r="180">
      <c r="B180" s="93"/>
      <c r="C180" s="111"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1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20"/>
      <c r="F180" s="20"/>
    </row>
    <row r="181">
      <c r="B181" s="93"/>
      <c r="C181" s="111"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1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20"/>
      <c r="F181" s="20"/>
    </row>
    <row r="182">
      <c r="B182" s="93"/>
      <c r="C182" s="111"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1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20"/>
      <c r="F182" s="20"/>
    </row>
    <row r="183">
      <c r="B183" s="93"/>
      <c r="C183" s="111"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1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20"/>
      <c r="F183" s="20"/>
    </row>
    <row r="184">
      <c r="B184" s="93"/>
      <c r="C184" s="111"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1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20"/>
      <c r="F184" s="20"/>
    </row>
    <row r="185">
      <c r="B185" s="93"/>
      <c r="C185" s="111"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1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20"/>
      <c r="F185" s="20"/>
    </row>
    <row r="186">
      <c r="B186" s="93"/>
      <c r="C186" s="111"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1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20"/>
      <c r="F186" s="20"/>
    </row>
    <row r="187">
      <c r="B187" s="93"/>
      <c r="C187" s="111"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1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20"/>
      <c r="F187" s="20"/>
    </row>
    <row r="188">
      <c r="B188" s="93"/>
      <c r="C188" s="111"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1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20"/>
      <c r="F188" s="20"/>
    </row>
    <row r="189">
      <c r="B189" s="93"/>
      <c r="C189" s="111"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1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20"/>
      <c r="F189" s="20"/>
    </row>
    <row r="190">
      <c r="B190" s="93"/>
      <c r="C190" s="111"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1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20"/>
      <c r="F190" s="20"/>
    </row>
    <row r="191">
      <c r="B191" s="93"/>
      <c r="C191" s="111"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1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20"/>
      <c r="F191" s="20"/>
    </row>
    <row r="192">
      <c r="B192" s="93"/>
      <c r="C192" s="111"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1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20"/>
      <c r="F192" s="20"/>
    </row>
    <row r="193">
      <c r="B193" s="93"/>
      <c r="C193" s="111"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1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20"/>
      <c r="F193" s="20"/>
    </row>
    <row r="194">
      <c r="B194" s="93"/>
      <c r="C194" s="111"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1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20"/>
      <c r="F194" s="20"/>
    </row>
    <row r="195">
      <c r="B195" s="93"/>
      <c r="C195" s="111"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1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20"/>
      <c r="F195" s="20"/>
    </row>
    <row r="196">
      <c r="B196" s="93"/>
      <c r="C196" s="111"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1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20"/>
      <c r="F196" s="20"/>
    </row>
    <row r="197">
      <c r="B197" s="93"/>
      <c r="C197" s="111"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1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20"/>
      <c r="F197" s="20"/>
    </row>
    <row r="198">
      <c r="B198" s="93"/>
      <c r="C198" s="111"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1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20"/>
      <c r="F198" s="20"/>
    </row>
    <row r="199">
      <c r="B199" s="93"/>
      <c r="C199" s="111"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1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20"/>
      <c r="F199" s="20"/>
    </row>
    <row r="200">
      <c r="B200" s="93"/>
      <c r="C200" s="111"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1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20"/>
      <c r="F200" s="20"/>
    </row>
    <row r="201">
      <c r="B201" s="93"/>
      <c r="C201" s="111"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1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20"/>
      <c r="F201" s="20"/>
    </row>
    <row r="202">
      <c r="B202" s="93"/>
      <c r="C202" s="111"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1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20"/>
      <c r="F202" s="20"/>
    </row>
    <row r="203">
      <c r="B203" s="93"/>
      <c r="C203" s="111"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1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20"/>
      <c r="F203" s="20"/>
    </row>
    <row r="204">
      <c r="B204" s="93"/>
      <c r="C204" s="111"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1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20"/>
      <c r="F204" s="20"/>
    </row>
    <row r="205">
      <c r="B205" s="93"/>
      <c r="C205" s="111"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1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20"/>
      <c r="F205" s="20"/>
    </row>
    <row r="206">
      <c r="B206" s="93"/>
      <c r="C206" s="111"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1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20"/>
      <c r="F206" s="20"/>
    </row>
    <row r="207">
      <c r="B207" s="93"/>
      <c r="C207" s="111"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1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20"/>
      <c r="F207" s="20"/>
    </row>
    <row r="208">
      <c r="B208" s="93"/>
      <c r="C208" s="111"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1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20"/>
      <c r="F208" s="20"/>
    </row>
    <row r="209">
      <c r="B209" s="93"/>
      <c r="C209" s="111"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1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20"/>
      <c r="F209" s="20"/>
    </row>
    <row r="210">
      <c r="B210" s="93"/>
      <c r="C210" s="111"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1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20"/>
      <c r="F210" s="20"/>
    </row>
    <row r="211">
      <c r="B211" s="93"/>
      <c r="C211" s="111"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1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20"/>
      <c r="F211" s="20"/>
    </row>
    <row r="212">
      <c r="B212" s="93"/>
      <c r="C212" s="111"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1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20"/>
      <c r="F212" s="20"/>
    </row>
    <row r="213">
      <c r="B213" s="93"/>
      <c r="C213" s="111"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1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20"/>
      <c r="F213" s="20"/>
    </row>
    <row r="214">
      <c r="B214" s="93"/>
      <c r="C214" s="111"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1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20"/>
      <c r="F214" s="20"/>
    </row>
    <row r="215">
      <c r="B215" s="93"/>
      <c r="C215" s="111"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1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20"/>
      <c r="F215" s="20"/>
    </row>
    <row r="216">
      <c r="B216" s="93"/>
      <c r="C216" s="111"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1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20"/>
      <c r="F216" s="20"/>
    </row>
    <row r="217">
      <c r="B217" s="93"/>
      <c r="C217" s="111"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1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20"/>
      <c r="F217" s="20"/>
    </row>
    <row r="218">
      <c r="B218" s="93"/>
      <c r="C218" s="111"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1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20"/>
      <c r="F218" s="20"/>
    </row>
    <row r="219">
      <c r="B219" s="93"/>
      <c r="C219" s="111"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1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20"/>
      <c r="F219" s="20"/>
    </row>
    <row r="220">
      <c r="B220" s="93"/>
      <c r="C220" s="111"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1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20"/>
      <c r="F220" s="20"/>
    </row>
    <row r="221">
      <c r="B221" s="93"/>
      <c r="C221" s="111"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1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20"/>
      <c r="F221" s="20"/>
    </row>
    <row r="222">
      <c r="B222" s="93"/>
      <c r="C222" s="111"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1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20"/>
      <c r="F222" s="20"/>
    </row>
    <row r="223">
      <c r="B223" s="93"/>
      <c r="C223" s="111"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1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20"/>
      <c r="F223" s="20"/>
    </row>
    <row r="224">
      <c r="B224" s="93"/>
      <c r="C224" s="111"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1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20"/>
      <c r="F224" s="20"/>
    </row>
    <row r="225">
      <c r="B225" s="93"/>
      <c r="C225" s="111"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1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20"/>
      <c r="F225" s="20"/>
    </row>
    <row r="226">
      <c r="B226" s="93"/>
      <c r="C226" s="111"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1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20"/>
      <c r="F226" s="20"/>
    </row>
    <row r="227">
      <c r="B227" s="93"/>
      <c r="C227" s="111"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1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20"/>
      <c r="F227" s="20"/>
    </row>
    <row r="228">
      <c r="B228" s="93"/>
      <c r="C228" s="111"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1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20"/>
      <c r="F228" s="20"/>
    </row>
    <row r="229">
      <c r="B229" s="93"/>
      <c r="C229" s="111"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1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20"/>
      <c r="F229" s="20"/>
    </row>
    <row r="230">
      <c r="B230" s="93"/>
      <c r="C230" s="111"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1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20"/>
      <c r="F230" s="20"/>
    </row>
    <row r="231">
      <c r="B231" s="93"/>
      <c r="C231" s="111"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1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20"/>
      <c r="F231" s="20"/>
    </row>
    <row r="232">
      <c r="B232" s="93"/>
      <c r="C232" s="111"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1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20"/>
      <c r="F232" s="20"/>
    </row>
    <row r="233">
      <c r="B233" s="93"/>
      <c r="C233" s="111"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1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20"/>
      <c r="F233" s="20"/>
    </row>
    <row r="234">
      <c r="B234" s="93"/>
      <c r="C234" s="111"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1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20"/>
      <c r="F234" s="20"/>
    </row>
    <row r="235">
      <c r="B235" s="93"/>
      <c r="C235" s="111"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1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20"/>
      <c r="F235" s="20"/>
    </row>
    <row r="236">
      <c r="B236" s="93"/>
      <c r="C236" s="111"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1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20"/>
      <c r="F236" s="20"/>
    </row>
    <row r="237">
      <c r="B237" s="93"/>
      <c r="C237" s="111"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1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20"/>
      <c r="F237" s="20"/>
    </row>
    <row r="238">
      <c r="B238" s="93"/>
      <c r="C238" s="111"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1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20"/>
      <c r="F238" s="20"/>
    </row>
    <row r="239">
      <c r="B239" s="93"/>
      <c r="C239" s="111"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1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20"/>
      <c r="F239" s="20"/>
    </row>
    <row r="240">
      <c r="B240" s="93"/>
      <c r="C240" s="111"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1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20"/>
      <c r="F240" s="20"/>
    </row>
    <row r="241">
      <c r="B241" s="93"/>
      <c r="C241" s="111"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1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20"/>
      <c r="F241" s="20"/>
    </row>
    <row r="242">
      <c r="B242" s="93"/>
      <c r="C242" s="111"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1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20"/>
      <c r="F242" s="20"/>
    </row>
    <row r="243">
      <c r="B243" s="93"/>
      <c r="C243" s="111"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1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20"/>
      <c r="F243" s="20"/>
    </row>
    <row r="244">
      <c r="B244" s="93"/>
      <c r="C244" s="111"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1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20"/>
      <c r="F244" s="20"/>
    </row>
    <row r="245">
      <c r="B245" s="93"/>
      <c r="C245" s="111"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1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20"/>
      <c r="F245" s="20"/>
    </row>
    <row r="246">
      <c r="B246" s="93"/>
      <c r="C246" s="111"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1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20"/>
      <c r="F246" s="20"/>
    </row>
    <row r="247">
      <c r="B247" s="93"/>
      <c r="C247" s="111"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1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20"/>
      <c r="F247" s="20"/>
    </row>
    <row r="248">
      <c r="B248" s="93"/>
      <c r="C248" s="111"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1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20"/>
      <c r="F248" s="20"/>
    </row>
    <row r="249">
      <c r="B249" s="93"/>
      <c r="C249" s="111"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1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20"/>
      <c r="F249" s="20"/>
    </row>
    <row r="250">
      <c r="B250" s="93"/>
      <c r="C250" s="111"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1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20"/>
      <c r="F250" s="20"/>
    </row>
    <row r="251">
      <c r="B251" s="93"/>
      <c r="C251" s="111"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1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20"/>
      <c r="F251" s="20"/>
    </row>
    <row r="252">
      <c r="B252" s="93"/>
      <c r="C252" s="111"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1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20"/>
      <c r="F252" s="20"/>
    </row>
    <row r="253">
      <c r="B253" s="93"/>
      <c r="C253" s="111"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1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20"/>
      <c r="F253" s="20"/>
    </row>
    <row r="254">
      <c r="B254" s="93"/>
      <c r="C254" s="111"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1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20"/>
      <c r="F254" s="20"/>
    </row>
    <row r="255">
      <c r="B255" s="93"/>
      <c r="C255" s="111"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1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20"/>
      <c r="F255" s="20"/>
    </row>
    <row r="256">
      <c r="B256" s="93"/>
      <c r="C256" s="111"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1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20"/>
      <c r="F256" s="20"/>
    </row>
    <row r="257">
      <c r="B257" s="93"/>
      <c r="C257" s="111"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1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20"/>
      <c r="F257" s="20"/>
    </row>
    <row r="258">
      <c r="B258" s="93"/>
      <c r="C258" s="111"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11"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20"/>
      <c r="F258" s="20"/>
    </row>
    <row r="259">
      <c r="B259" s="93"/>
      <c r="C259" s="111"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1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20"/>
      <c r="F259" s="20"/>
    </row>
    <row r="260">
      <c r="B260" s="93"/>
      <c r="C260" s="111"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1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20"/>
      <c r="F260" s="20"/>
    </row>
    <row r="261">
      <c r="B261" s="93"/>
      <c r="C261" s="111"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1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20"/>
      <c r="F261" s="20"/>
    </row>
    <row r="262">
      <c r="B262" s="93"/>
      <c r="C262" s="111"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11"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20"/>
      <c r="F262" s="20"/>
    </row>
    <row r="263">
      <c r="B263" s="93"/>
      <c r="C263" s="11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1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20"/>
      <c r="F263" s="20"/>
    </row>
    <row r="264">
      <c r="B264" s="93"/>
      <c r="C264" s="11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1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20"/>
      <c r="F264" s="20"/>
    </row>
    <row r="265">
      <c r="B265" s="93"/>
      <c r="C265" s="11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1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20"/>
      <c r="F265" s="20"/>
    </row>
    <row r="266">
      <c r="B266" s="93"/>
      <c r="C266" s="11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1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20"/>
      <c r="F266" s="20"/>
    </row>
    <row r="267">
      <c r="B267" s="93"/>
      <c r="C267" s="11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1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20"/>
      <c r="F267" s="20"/>
    </row>
    <row r="268">
      <c r="B268" s="93"/>
      <c r="C268" s="11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1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20"/>
      <c r="F268" s="20"/>
    </row>
    <row r="269">
      <c r="B269" s="93"/>
      <c r="C269" s="11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1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20"/>
      <c r="F269" s="20"/>
    </row>
    <row r="270">
      <c r="B270" s="93"/>
      <c r="C270" s="11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1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20"/>
      <c r="F270" s="20"/>
    </row>
    <row r="271">
      <c r="B271" s="93"/>
      <c r="C271" s="11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1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20"/>
      <c r="F271" s="20"/>
    </row>
    <row r="272">
      <c r="B272" s="93"/>
      <c r="C272" s="11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1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20"/>
      <c r="F272" s="20"/>
    </row>
    <row r="273">
      <c r="B273" s="93"/>
      <c r="C273" s="11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1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20"/>
      <c r="F273" s="20"/>
    </row>
    <row r="274">
      <c r="B274" s="93"/>
      <c r="C274" s="11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1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20"/>
      <c r="F274" s="20"/>
    </row>
    <row r="275">
      <c r="B275" s="93"/>
      <c r="C275" s="11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1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20"/>
      <c r="F275" s="20"/>
    </row>
    <row r="276">
      <c r="B276" s="93"/>
      <c r="C276" s="11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1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20"/>
      <c r="F276" s="20"/>
    </row>
    <row r="277">
      <c r="B277" s="93"/>
      <c r="C277" s="11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1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20"/>
      <c r="F277" s="20"/>
    </row>
    <row r="278">
      <c r="B278" s="93"/>
      <c r="C278" s="11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1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20"/>
      <c r="F278" s="20"/>
    </row>
    <row r="279">
      <c r="B279" s="93"/>
      <c r="C279" s="11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1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20"/>
      <c r="F279" s="20"/>
    </row>
    <row r="280">
      <c r="B280" s="93"/>
      <c r="C280" s="11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1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20"/>
      <c r="F280" s="20"/>
    </row>
    <row r="281">
      <c r="B281" s="93"/>
      <c r="C281" s="11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1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20"/>
      <c r="F281" s="20"/>
    </row>
    <row r="282">
      <c r="B282" s="93"/>
      <c r="C282" s="11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1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20"/>
      <c r="F282" s="20"/>
    </row>
    <row r="283">
      <c r="B283" s="93"/>
      <c r="C283" s="11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1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20"/>
      <c r="F283" s="20"/>
    </row>
    <row r="284">
      <c r="B284" s="93"/>
      <c r="C284" s="11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1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20"/>
      <c r="F284" s="20"/>
    </row>
    <row r="285">
      <c r="B285" s="93"/>
      <c r="C285" s="11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1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20"/>
      <c r="F285" s="20"/>
    </row>
    <row r="286">
      <c r="B286" s="93"/>
      <c r="C286" s="11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1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20"/>
      <c r="F286" s="20"/>
    </row>
    <row r="287">
      <c r="B287" s="93"/>
      <c r="C287" s="11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1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20"/>
      <c r="F287" s="20"/>
    </row>
    <row r="288">
      <c r="B288" s="93"/>
      <c r="C288" s="11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1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20"/>
      <c r="F288" s="20"/>
    </row>
    <row r="289">
      <c r="B289" s="93"/>
      <c r="C289" s="11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1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20"/>
      <c r="F289" s="20"/>
    </row>
    <row r="290">
      <c r="B290" s="93"/>
      <c r="C290" s="11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1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20"/>
      <c r="F290" s="20"/>
    </row>
    <row r="291">
      <c r="B291" s="93"/>
      <c r="C291" s="11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1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20"/>
      <c r="F291" s="20"/>
    </row>
    <row r="292">
      <c r="B292" s="93"/>
      <c r="C292" s="11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1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20"/>
      <c r="F292" s="20"/>
    </row>
    <row r="293">
      <c r="B293" s="93"/>
      <c r="C293" s="11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1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20"/>
      <c r="F293" s="20"/>
    </row>
    <row r="294">
      <c r="B294" s="93"/>
      <c r="C294" s="11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1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20"/>
      <c r="F294" s="20"/>
    </row>
    <row r="295">
      <c r="B295" s="93"/>
      <c r="C295" s="11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1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20"/>
      <c r="F295" s="20"/>
    </row>
    <row r="296">
      <c r="B296" s="93"/>
      <c r="C296" s="11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1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20"/>
      <c r="F296" s="20"/>
    </row>
    <row r="297">
      <c r="B297" s="93"/>
      <c r="C297" s="11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1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20"/>
      <c r="F297" s="20"/>
    </row>
    <row r="298">
      <c r="B298" s="93"/>
      <c r="C298" s="11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1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20"/>
      <c r="F298" s="20"/>
    </row>
    <row r="299">
      <c r="B299" s="93"/>
      <c r="C299" s="11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1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20"/>
      <c r="F299" s="20"/>
    </row>
    <row r="300">
      <c r="B300" s="93"/>
      <c r="C300" s="11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1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20"/>
      <c r="F300" s="20"/>
    </row>
    <row r="301">
      <c r="B301" s="93"/>
      <c r="C301" s="11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1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20"/>
      <c r="F301" s="20"/>
    </row>
    <row r="302">
      <c r="B302" s="93"/>
      <c r="C302" s="11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1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20"/>
      <c r="F302" s="20"/>
    </row>
    <row r="303">
      <c r="B303" s="93"/>
      <c r="C303" s="11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1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20"/>
      <c r="F303" s="20"/>
    </row>
    <row r="304">
      <c r="B304" s="93"/>
      <c r="C304" s="11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1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20"/>
      <c r="F304" s="20"/>
    </row>
    <row r="305">
      <c r="B305" s="93"/>
      <c r="C305" s="11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1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20"/>
      <c r="F305" s="20"/>
    </row>
    <row r="306">
      <c r="B306" s="93"/>
      <c r="C306" s="11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1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20"/>
      <c r="F306" s="20"/>
    </row>
    <row r="307">
      <c r="B307" s="93"/>
      <c r="C307" s="11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1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20"/>
      <c r="F307" s="20"/>
    </row>
    <row r="308">
      <c r="B308" s="93"/>
      <c r="C308" s="11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1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20"/>
      <c r="F308" s="20"/>
    </row>
    <row r="309">
      <c r="B309" s="93"/>
      <c r="C309" s="11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1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20"/>
      <c r="F309" s="20"/>
    </row>
    <row r="310">
      <c r="B310" s="93"/>
      <c r="C310" s="11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1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20"/>
      <c r="F310" s="20"/>
    </row>
    <row r="311">
      <c r="B311" s="93"/>
      <c r="C311" s="11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1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20"/>
      <c r="F311" s="20"/>
    </row>
    <row r="312">
      <c r="B312" s="93"/>
      <c r="C312" s="11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1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20"/>
      <c r="F312" s="20"/>
    </row>
    <row r="313">
      <c r="B313" s="93"/>
      <c r="C313" s="11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1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20"/>
      <c r="F313" s="20"/>
    </row>
    <row r="314">
      <c r="B314" s="93"/>
      <c r="C314" s="11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1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20"/>
      <c r="F314" s="20"/>
    </row>
    <row r="315">
      <c r="B315" s="93"/>
      <c r="C315" s="11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1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20"/>
      <c r="F315" s="20"/>
    </row>
    <row r="316">
      <c r="B316" s="93"/>
      <c r="C316" s="11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1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20"/>
      <c r="F316" s="20"/>
    </row>
    <row r="317">
      <c r="B317" s="93"/>
      <c r="C317" s="11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1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20"/>
      <c r="F317" s="20"/>
    </row>
    <row r="318">
      <c r="B318" s="93"/>
      <c r="C318" s="11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1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20"/>
      <c r="F318" s="20"/>
    </row>
    <row r="319">
      <c r="B319" s="93"/>
      <c r="C319" s="11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1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20"/>
      <c r="F319" s="20"/>
    </row>
    <row r="320">
      <c r="B320" s="93"/>
      <c r="C320" s="11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1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20"/>
      <c r="F320" s="20"/>
    </row>
    <row r="321">
      <c r="B321" s="93"/>
      <c r="C321" s="11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1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20"/>
      <c r="F321" s="20"/>
    </row>
    <row r="322">
      <c r="B322" s="93"/>
      <c r="C322" s="11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1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20"/>
      <c r="F322" s="20"/>
    </row>
    <row r="323">
      <c r="B323" s="93"/>
      <c r="C323" s="11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1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20"/>
      <c r="F323" s="20"/>
    </row>
    <row r="324">
      <c r="B324" s="93"/>
      <c r="C324" s="11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1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20"/>
      <c r="F324" s="20"/>
    </row>
    <row r="325">
      <c r="B325" s="93"/>
      <c r="C325" s="11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1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20"/>
      <c r="F325" s="20"/>
    </row>
    <row r="326">
      <c r="B326" s="93"/>
      <c r="C326" s="11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1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20"/>
      <c r="F326" s="20"/>
    </row>
    <row r="327">
      <c r="B327" s="93"/>
      <c r="C327" s="11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1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20"/>
      <c r="F327" s="20"/>
    </row>
    <row r="328">
      <c r="B328" s="93"/>
      <c r="C328" s="11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1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20"/>
      <c r="F328" s="20"/>
    </row>
    <row r="329">
      <c r="B329" s="93"/>
      <c r="C329" s="11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1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20"/>
      <c r="F329" s="20"/>
    </row>
    <row r="330">
      <c r="B330" s="93"/>
      <c r="C330" s="11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1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20"/>
      <c r="F330" s="20"/>
    </row>
    <row r="331">
      <c r="B331" s="93"/>
      <c r="C331" s="11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1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20"/>
      <c r="F331" s="20"/>
    </row>
    <row r="332">
      <c r="B332" s="93"/>
      <c r="C332" s="11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1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20"/>
      <c r="F332" s="20"/>
    </row>
    <row r="333">
      <c r="B333" s="93"/>
      <c r="C333" s="11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1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20"/>
      <c r="F333" s="20"/>
    </row>
    <row r="334">
      <c r="B334" s="93"/>
      <c r="C334" s="11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1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20"/>
      <c r="F334" s="20"/>
    </row>
    <row r="335">
      <c r="B335" s="93"/>
      <c r="C335" s="11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1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20"/>
      <c r="F335" s="20"/>
    </row>
    <row r="336">
      <c r="B336" s="93"/>
      <c r="C336" s="11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1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20"/>
      <c r="F336" s="20"/>
    </row>
    <row r="337">
      <c r="B337" s="93"/>
      <c r="C337" s="11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1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20"/>
      <c r="F337" s="20"/>
    </row>
    <row r="338">
      <c r="B338" s="93"/>
      <c r="C338" s="11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1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20"/>
      <c r="F338" s="20"/>
    </row>
    <row r="339">
      <c r="B339" s="93"/>
      <c r="C339" s="11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1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20"/>
      <c r="F339" s="20"/>
    </row>
    <row r="340">
      <c r="B340" s="93"/>
      <c r="C340" s="11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1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20"/>
      <c r="F340" s="20"/>
    </row>
    <row r="341">
      <c r="B341" s="93"/>
      <c r="C341" s="11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1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20"/>
      <c r="F341" s="20"/>
    </row>
    <row r="342">
      <c r="B342" s="93"/>
      <c r="C342" s="11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1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20"/>
      <c r="F342" s="20"/>
    </row>
    <row r="343">
      <c r="B343" s="93"/>
      <c r="C343" s="11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1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20"/>
      <c r="F343" s="20"/>
    </row>
    <row r="344">
      <c r="B344" s="93"/>
      <c r="C344" s="11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1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20"/>
      <c r="F344" s="20"/>
    </row>
    <row r="345">
      <c r="B345" s="93"/>
      <c r="C345" s="11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1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20"/>
      <c r="F345" s="20"/>
    </row>
    <row r="346">
      <c r="B346" s="93"/>
      <c r="C346" s="11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1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20"/>
      <c r="F346" s="20"/>
    </row>
    <row r="347">
      <c r="B347" s="93"/>
      <c r="C347" s="11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1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20"/>
      <c r="F347" s="20"/>
    </row>
    <row r="348">
      <c r="B348" s="93"/>
      <c r="C348" s="11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1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20"/>
      <c r="F348" s="20"/>
    </row>
    <row r="349">
      <c r="B349" s="93"/>
      <c r="C349" s="11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1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20"/>
      <c r="F349" s="20"/>
    </row>
    <row r="350">
      <c r="B350" s="93"/>
      <c r="C350" s="11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1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20"/>
      <c r="F350" s="20"/>
    </row>
    <row r="351">
      <c r="B351" s="93"/>
      <c r="C351" s="11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1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20"/>
      <c r="F351" s="20"/>
    </row>
    <row r="352">
      <c r="B352" s="93"/>
      <c r="C352" s="11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1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20"/>
      <c r="F352" s="20"/>
    </row>
    <row r="353">
      <c r="B353" s="93"/>
      <c r="C353" s="11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1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20"/>
      <c r="F353" s="20"/>
    </row>
    <row r="354">
      <c r="B354" s="93"/>
      <c r="C354" s="11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1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20"/>
      <c r="F354" s="20"/>
    </row>
    <row r="355">
      <c r="B355" s="93"/>
      <c r="C355" s="11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1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20"/>
      <c r="F355" s="20"/>
    </row>
    <row r="356">
      <c r="B356" s="93"/>
      <c r="C356" s="11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1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20"/>
      <c r="F356" s="20"/>
    </row>
    <row r="357">
      <c r="B357" s="93"/>
      <c r="C357" s="11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1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20"/>
      <c r="F357" s="20"/>
    </row>
    <row r="358">
      <c r="B358" s="93"/>
      <c r="C358" s="11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1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20"/>
      <c r="F358" s="20"/>
    </row>
    <row r="359">
      <c r="B359" s="93"/>
      <c r="C359" s="11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1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20"/>
      <c r="F359" s="20"/>
    </row>
    <row r="360">
      <c r="B360" s="93"/>
      <c r="C360" s="11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1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20"/>
      <c r="F360" s="20"/>
    </row>
    <row r="361">
      <c r="B361" s="93"/>
      <c r="C361" s="11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1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20"/>
      <c r="F361" s="20"/>
    </row>
    <row r="362">
      <c r="B362" s="93"/>
      <c r="C362" s="11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1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20"/>
      <c r="F362" s="20"/>
    </row>
    <row r="363">
      <c r="B363" s="93"/>
      <c r="C363" s="11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1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20"/>
      <c r="F363" s="20"/>
    </row>
    <row r="364">
      <c r="B364" s="93"/>
      <c r="C364" s="11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1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20"/>
      <c r="F364" s="20"/>
    </row>
    <row r="365">
      <c r="B365" s="93"/>
      <c r="C365" s="11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1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20"/>
      <c r="F365" s="20"/>
    </row>
    <row r="366">
      <c r="B366" s="93"/>
      <c r="C366" s="11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1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20"/>
      <c r="F366" s="20"/>
    </row>
    <row r="367">
      <c r="B367" s="93"/>
      <c r="C367" s="11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1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20"/>
      <c r="F367" s="20"/>
    </row>
    <row r="368">
      <c r="B368" s="93"/>
      <c r="C368" s="11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1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20"/>
      <c r="F368" s="20"/>
    </row>
    <row r="369">
      <c r="B369" s="93"/>
      <c r="C369" s="11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1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20"/>
      <c r="F369" s="20"/>
    </row>
    <row r="370">
      <c r="B370" s="93"/>
      <c r="C370" s="11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1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20"/>
      <c r="F370" s="20"/>
    </row>
    <row r="371">
      <c r="B371" s="93"/>
      <c r="C371" s="11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1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20"/>
      <c r="F371" s="20"/>
    </row>
    <row r="372">
      <c r="B372" s="93"/>
      <c r="C372" s="11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1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20"/>
      <c r="F372" s="20"/>
    </row>
    <row r="373">
      <c r="B373" s="93"/>
      <c r="C373" s="11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1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20"/>
      <c r="F373" s="20"/>
    </row>
    <row r="374">
      <c r="B374" s="93"/>
      <c r="C374" s="11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1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20"/>
      <c r="F374" s="20"/>
    </row>
    <row r="375">
      <c r="B375" s="93"/>
      <c r="C375" s="11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1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20"/>
      <c r="F375" s="20"/>
    </row>
    <row r="376">
      <c r="B376" s="93"/>
      <c r="C376" s="11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1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20"/>
      <c r="F376" s="20"/>
    </row>
    <row r="377">
      <c r="B377" s="93"/>
      <c r="C377" s="11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1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20"/>
      <c r="F377" s="20"/>
    </row>
    <row r="378">
      <c r="B378" s="93"/>
      <c r="C378" s="11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1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20"/>
      <c r="F378" s="20"/>
    </row>
    <row r="379">
      <c r="B379" s="93"/>
      <c r="C379" s="11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1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20"/>
      <c r="F379" s="20"/>
    </row>
    <row r="380">
      <c r="B380" s="93"/>
      <c r="C380" s="11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1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20"/>
      <c r="F380" s="20"/>
    </row>
    <row r="381">
      <c r="B381" s="93"/>
      <c r="C381" s="11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1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20"/>
      <c r="F381" s="20"/>
    </row>
    <row r="382">
      <c r="B382" s="93"/>
      <c r="C382" s="11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1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20"/>
      <c r="F382" s="20"/>
    </row>
    <row r="383">
      <c r="B383" s="93"/>
      <c r="C383" s="11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1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20"/>
      <c r="F383" s="20"/>
    </row>
    <row r="384">
      <c r="B384" s="93"/>
      <c r="C384" s="11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1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20"/>
      <c r="F384" s="20"/>
    </row>
    <row r="385">
      <c r="B385" s="93"/>
      <c r="C385" s="11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1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20"/>
      <c r="F385" s="20"/>
    </row>
    <row r="386">
      <c r="B386" s="93"/>
      <c r="C386" s="11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1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20"/>
      <c r="F386" s="20"/>
    </row>
    <row r="387">
      <c r="B387" s="93"/>
      <c r="C387" s="11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1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20"/>
      <c r="F387" s="20"/>
    </row>
    <row r="388">
      <c r="B388" s="93"/>
      <c r="C388" s="11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1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20"/>
      <c r="F388" s="20"/>
    </row>
    <row r="389">
      <c r="B389" s="93"/>
      <c r="C389" s="11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1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20"/>
      <c r="F389" s="20"/>
    </row>
    <row r="390">
      <c r="B390" s="93"/>
      <c r="C390" s="11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1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20"/>
      <c r="F390" s="20"/>
    </row>
    <row r="391">
      <c r="B391" s="93"/>
      <c r="C391" s="11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1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20"/>
      <c r="F391" s="20"/>
    </row>
    <row r="392">
      <c r="B392" s="93"/>
      <c r="C392" s="11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1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20"/>
      <c r="F392" s="20"/>
    </row>
    <row r="393">
      <c r="B393" s="93"/>
      <c r="C393" s="11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1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20"/>
      <c r="F393" s="20"/>
    </row>
  </sheetData>
  <mergeCells count="1">
    <mergeCell ref="C4:D4"/>
  </mergeCells>
  <conditionalFormatting sqref="A1:B1 G1 H3">
    <cfRule type="cellIs" dxfId="3" priority="1" operator="notEqual">
      <formula>0</formula>
    </cfRule>
  </conditionalFormatting>
  <conditionalFormatting sqref="E5:E393">
    <cfRule type="expression" dxfId="0" priority="2">
      <formula>or(E5="Various Artists",and(or(not(isblank(#REF!)),not(isblank(B5))),isblank(E5)),and(not(isblank(E5)),iserror(match(E5,indirect("'1) Artists list'!a:a"),0))))</formula>
    </cfRule>
  </conditionalFormatting>
  <conditionalFormatting sqref="F5:F393">
    <cfRule type="expression" dxfId="0" priority="3">
      <formula>or(and(or(A5&lt;&gt;"",B5&lt;&gt;""),isblank(F5)),and(F5&lt;&gt;"", iserror(match(F5,indirect("'Reference info'!j:j"),0))))</formula>
    </cfRule>
  </conditionalFormatting>
  <conditionalFormatting sqref="F5:F393">
    <cfRule type="expression" dxfId="3" priority="4">
      <formula>or(and(A5&lt;&gt;"",A5=A6,F5="Main Primary Artist",F5=F6),and(B5&lt;&gt;"",B5=B6,F5="Main Primary Artist",F5=F6),and(A5&lt;&gt;"",A5=A4,F5="Main Primary Artist",F5=F4),and(B5&lt;&gt;"",B5=B4,F5="Main Primary Artist",F5=F4))</formula>
    </cfRule>
  </conditionalFormatting>
  <conditionalFormatting sqref="A5:B393">
    <cfRule type="expression" dxfId="5" priority="5">
      <formula>and(A5&lt;&gt;"",B5&lt;&gt;"",countif(A:A,A5)&lt;&gt;countif(B:B,B5))</formula>
    </cfRule>
  </conditionalFormatting>
  <conditionalFormatting sqref="A5:A393">
    <cfRule type="expression" dxfId="3" priority="6">
      <formula>COUNTIFS($A$5:A393, A5, $F$5:F393, "Main Primary Artist") &gt; 1</formula>
    </cfRule>
  </conditionalFormatting>
  <conditionalFormatting sqref="A5:A393">
    <cfRule type="expression" dxfId="3" priority="7">
      <formula>AND(A5&lt;&gt;"", COUNTIFS($A$5:A393, A5, $G$5:G393, "Producer &amp; Engineer") = 0)</formula>
    </cfRule>
  </conditionalFormatting>
  <dataValidations>
    <dataValidation type="list" allowBlank="1" showInputMessage="1" showErrorMessage="1" prompt="select from list, type or drag. Each release MUST have only ONE Artist assigned the 'Primary - Top' role." sqref="F4:F393">
      <formula1>ArtistRole</formula1>
    </dataValidation>
    <dataValidation type="list" allowBlank="1" showInputMessage="1" showErrorMessage="1" prompt="select from Artists list, start typing or drag" sqref="E5:E393">
      <formula1>Artist</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0.13"/>
    <col customWidth="1" min="4" max="4" width="38.0"/>
  </cols>
  <sheetData>
    <row r="1">
      <c r="A1" s="14" t="s">
        <v>144</v>
      </c>
      <c r="B1" s="13">
        <f>IFERROR(__xludf.DUMMYFUNCTION("COUNTUNIQUE(A5:A995)"),2.0)</f>
        <v>2</v>
      </c>
      <c r="D1" s="14" t="s">
        <v>145</v>
      </c>
      <c r="E1" s="13">
        <f>IFERROR(__xludf.DUMMYFUNCTION("COUNTUNIQUE(D5:D995)"),2.0)</f>
        <v>2</v>
      </c>
      <c r="G1" s="8" t="str">
        <f>"select * from Composers where EnterpriseId="&amp;EntId</f>
        <v>select * from Composers where EnterpriseId=414849</v>
      </c>
      <c r="H1" s="34" t="str">
        <f>"select * from Publishers where EnterpriseId="&amp;EntId</f>
        <v>select * from Publishers where EnterpriseId=414849</v>
      </c>
    </row>
    <row r="2">
      <c r="A2" s="22" t="s">
        <v>27</v>
      </c>
      <c r="B2" s="16" t="s">
        <v>37</v>
      </c>
      <c r="D2" s="143" t="s">
        <v>29</v>
      </c>
      <c r="E2" s="16" t="s">
        <v>37</v>
      </c>
    </row>
    <row r="3">
      <c r="A3" s="104" t="s">
        <v>146</v>
      </c>
      <c r="B3" s="50">
        <f>IFERROR(__xludf.DUMMYFUNCTION("counta(A5:A995)-COUNTUNIQUE(A5:A995)"),0.0)</f>
        <v>0</v>
      </c>
      <c r="D3" s="118" t="s">
        <v>147</v>
      </c>
      <c r="E3" s="50">
        <f>IFERROR(__xludf.DUMMYFUNCTION("counta(D5:D995)-COUNTUNIQUE(D5:D995)"),0.0)</f>
        <v>0</v>
      </c>
    </row>
    <row r="4">
      <c r="A4" s="144" t="s">
        <v>148</v>
      </c>
      <c r="D4" s="78" t="s">
        <v>149</v>
      </c>
    </row>
    <row r="5">
      <c r="A5" s="43" t="s">
        <v>150</v>
      </c>
      <c r="C5" s="145" t="str">
        <f>"insert into Composers VALUES(N'"&amp;SUBSTITUTE(trim(A5),"'","''")&amp;"', null, null, (select CreatedBy from Enterprises where EnterpriseId="&amp;EntId&amp;"), getdate(), null, null, null,"&amp;TenantId&amp;", "&amp;EntId&amp;", null, null, null, null)"</f>
        <v>insert into Composers VALUES(N'Agnaldo Paulino de Jesus Júnior', null, null, (select CreatedBy from Enterprises where EnterpriseId=414849), getdate(), null, null, null,332920, 414849, null, null, null, null)</v>
      </c>
      <c r="D5" s="8" t="s">
        <v>151</v>
      </c>
      <c r="F5" s="146"/>
      <c r="G5" s="136" t="s">
        <v>152</v>
      </c>
    </row>
    <row r="6">
      <c r="A6" s="51" t="s">
        <v>153</v>
      </c>
      <c r="C6" s="145" t="str">
        <f>"insert into Composers VALUES(N'"&amp;SUBSTITUTE(trim(A6),"'","''")&amp;"', null, null, (select CreatedBy from Enterprises where EnterpriseId="&amp;EntId&amp;"), getdate(), null, null, null,"&amp;TenantId&amp;", "&amp;EntId&amp;", null, null, null, null)"</f>
        <v>insert into Composers VALUES(N'Jackson Bertholdo Dos Santos', null, null, (select CreatedBy from Enterprises where EnterpriseId=414849), getdate(), null, null, null,332920, 414849, null, null, null, null)</v>
      </c>
      <c r="D6" s="8" t="s">
        <v>154</v>
      </c>
    </row>
  </sheetData>
  <conditionalFormatting sqref="B3 E3">
    <cfRule type="cellIs" dxfId="1" priority="1" operator="equal">
      <formula>0</formula>
    </cfRule>
  </conditionalFormatting>
  <conditionalFormatting sqref="B3 E3">
    <cfRule type="cellIs" dxfId="2" priority="2" operator="notEqual">
      <formula>0</formula>
    </cfRule>
  </conditionalFormatting>
  <conditionalFormatting sqref="A5:A995">
    <cfRule type="expression" dxfId="3" priority="3">
      <formula>countif(B:B,A5)&gt;0</formula>
    </cfRule>
  </conditionalFormatting>
  <conditionalFormatting sqref="D5:D995">
    <cfRule type="expression" dxfId="3" priority="4">
      <formula>countif(E:E,D5)&gt;0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6.0"/>
    <col customWidth="1" min="3" max="3" width="28.75"/>
    <col customWidth="1" min="4" max="4" width="14.5"/>
    <col customWidth="1" min="5" max="5" width="26.63"/>
    <col customWidth="1" min="6" max="6" width="17.0"/>
    <col customWidth="1" min="7" max="8" width="8.13"/>
    <col customWidth="1" min="9" max="9" width="29.5"/>
    <col customWidth="1" min="10" max="10" width="16.0"/>
    <col customWidth="1" min="11" max="11" width="9.75"/>
    <col customWidth="1" min="12" max="12" width="17.0"/>
    <col customWidth="1" min="13" max="13" width="9.75"/>
    <col customWidth="1" min="14" max="14" width="8.0"/>
    <col customWidth="1" min="15" max="15" width="9.5"/>
    <col customWidth="1" min="16" max="16" width="9.0"/>
    <col customWidth="1" min="17" max="17" width="12.5"/>
    <col customWidth="1" min="18" max="18" width="4.38"/>
    <col customWidth="1" min="19" max="19" width="8.38"/>
    <col customWidth="1" min="20" max="20" width="6.75"/>
    <col customWidth="1" min="24" max="24" width="11.0"/>
  </cols>
  <sheetData>
    <row r="1">
      <c r="A1" s="13">
        <f>IFERROR(__xludf.DUMMYFUNCTION("COUNTUNIQUE(A5:A547)-'5) Release_Track'!F1"),0.0)</f>
        <v>0</v>
      </c>
      <c r="B1" s="13">
        <f>IFERROR(__xludf.DUMMYFUNCTION("COUNTUNIQUE(B5:B547)-'5) Release_Track'!G1"),0.0)</f>
        <v>0</v>
      </c>
      <c r="C1" s="147" t="s">
        <v>94</v>
      </c>
      <c r="D1" s="106"/>
      <c r="E1" s="13">
        <f>IFERROR(__xludf.DUMMYFUNCTION("COUNTUNIQUE(E5:E547)"),2.0)</f>
        <v>2</v>
      </c>
      <c r="F1" s="22" t="s">
        <v>27</v>
      </c>
      <c r="G1" s="148">
        <f>IFERROR(__xludf.DUMMYFUNCTION("sum(G5:G547)-arrayformula(COUNTUNIQUE(A5:A547&amp;B5:B547))"),0.0)</f>
        <v>0</v>
      </c>
      <c r="H1" s="106"/>
      <c r="I1" s="13">
        <f>countif(I5:I547,"Published (managed by a publisher)")</f>
        <v>2</v>
      </c>
      <c r="J1" s="13">
        <f>COUNTA(J5:J547)</f>
        <v>2</v>
      </c>
      <c r="K1" s="13">
        <f>IFERROR(__xludf.DUMMYFUNCTION("COUNTUNIQUE(J5:J547)"),2.0)</f>
        <v>2</v>
      </c>
      <c r="M1" s="134"/>
    </row>
    <row r="2">
      <c r="A2" s="149" t="s">
        <v>155</v>
      </c>
      <c r="B2" s="102"/>
      <c r="C2" s="135"/>
      <c r="D2" s="135"/>
      <c r="E2" s="135"/>
      <c r="F2" s="135"/>
      <c r="G2" s="102"/>
      <c r="H2" s="135"/>
      <c r="I2" s="135"/>
      <c r="J2" s="135"/>
      <c r="K2" s="150" t="s">
        <v>29</v>
      </c>
      <c r="L2" s="151"/>
    </row>
    <row r="3">
      <c r="A3" s="118" t="s">
        <v>110</v>
      </c>
      <c r="B3" s="69" t="s">
        <v>111</v>
      </c>
      <c r="C3" s="137" t="s">
        <v>112</v>
      </c>
      <c r="D3" s="137" t="s">
        <v>113</v>
      </c>
      <c r="E3" s="104" t="s">
        <v>156</v>
      </c>
      <c r="F3" s="104" t="s">
        <v>157</v>
      </c>
      <c r="G3" s="152" t="s">
        <v>158</v>
      </c>
      <c r="H3" s="137" t="s">
        <v>159</v>
      </c>
      <c r="I3" s="104" t="s">
        <v>160</v>
      </c>
      <c r="J3" s="66" t="s">
        <v>161</v>
      </c>
    </row>
    <row r="4">
      <c r="A4" s="78" t="s">
        <v>140</v>
      </c>
      <c r="B4" s="139" t="s">
        <v>140</v>
      </c>
      <c r="C4" s="106" t="s">
        <v>141</v>
      </c>
      <c r="E4" s="107" t="s">
        <v>162</v>
      </c>
      <c r="F4" s="35" t="s">
        <v>79</v>
      </c>
      <c r="G4" s="153" t="s">
        <v>163</v>
      </c>
      <c r="H4" s="106" t="s">
        <v>164</v>
      </c>
      <c r="I4" s="35" t="s">
        <v>79</v>
      </c>
      <c r="J4" s="154" t="s">
        <v>165</v>
      </c>
      <c r="M4" s="155"/>
    </row>
    <row r="5">
      <c r="A5" s="8" t="s">
        <v>130</v>
      </c>
      <c r="B5" s="110"/>
      <c r="C5" s="114" t="str">
        <f t="array" ref="C5">ifs(and(isblank($A5),isblank($B5)),"", not(iserror(vlookup($A5&amp;$B5,'5) Release_Track'!$F:$F&amp;'5) Release_Track'!$G:$G,1,0))),vlookup($A5&amp;$B5,{'5) Release_Track'!$F:$F&amp;'5) Release_Track'!$G:$G,'5) Release_Track'!$H:$H},2,0),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Receba</v>
      </c>
      <c r="D5" s="114" t="str">
        <f t="array" ref="D5">ifs(and(isblank($A5),isblank($B5)),"", not(iserror(vlookup($A5&amp;$B5,'5) Release_Track'!$F:$F&amp;'5) Release_Track'!$G:$G,1,0))),vlookup($A5&amp;$B5,{'5) Release_Track'!$F:$F&amp;'5) Release_Track'!$G:$G,'5) Release_Track'!$I:$I},2,0),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Extended</v>
      </c>
      <c r="E5" s="43" t="s">
        <v>150</v>
      </c>
      <c r="F5" s="88" t="s">
        <v>166</v>
      </c>
      <c r="G5" s="156">
        <v>0.6</v>
      </c>
      <c r="H5" s="157">
        <f t="shared" ref="H5:H547" si="1">if(isblank(G5),"",if(not(iserror(find("MATCH in ",D5))),D5,if(and(not(isblank($B5)),$B5=$B4,$A5&lt;&gt;$A4),"ID LISTS UNALIGNED",if(not(isblank($A5)),if($A5=$A4,G5+H4,G5),if($B5=$B4,G5+H4,G5)))))</f>
        <v>0.6</v>
      </c>
      <c r="I5" s="8" t="s">
        <v>167</v>
      </c>
      <c r="J5" s="158"/>
      <c r="K5" s="28"/>
      <c r="L5" s="8" t="str">
        <f>"insert into ComposerContent VALUES ((select max(ComposerId) from Composers where Name=N'"&amp;SUBSTITUTE(trim(E5),"'","''")&amp;"' and EnterpriseId="&amp;EntId&amp;"), "&amp;G5*100&amp;", "&amp;if(ISBLANK(B5),"(select max(TrackId) from tracks where isrc='"&amp;A5&amp;"' and EnterpriseId="&amp;EntId&amp;")","(select max(TrackId) from Tracks where TrackVendorId='"&amp;SUBSTITUTE(B5,"'","''")&amp;"' and  EnterpriseId="&amp;EntId&amp;")")&amp;", null, 0, 0, "&amp;if(I5&lt;&gt;"Published (managed by a publisher)", "null", "(select PublisherId from Publishers where name=N'"&amp;SUBSTITUTE(trim(J5),"'","''")&amp;"' and EnterpriseId="&amp;EntId&amp;")")&amp;" , null, (select RightsId from MechanicalsRights where RightsName='"&amp;SUBSTITUTE(I5,"'","''")&amp;"'), null, null, (select RoleId from ContributorRoles where Name='"&amp;F5&amp;"'))"</f>
        <v>insert into ComposerContent VALUES ((select max(ComposerId) from Composers where Name=N'Agnaldo Paulino de Jesus Júnior' and EnterpriseId=414849), 60, (select max(TrackId) from tracks where isrc='QZW9M2221000' and EnterpriseId=414849), null, 0, 0, null , null, (select RightsId from MechanicalsRights where RightsName='Copyright control (self-published)'), null, null, (select RoleId from ContributorRoles where Name='Composer &amp; Lyricist'))</v>
      </c>
      <c r="N5" s="28"/>
      <c r="O5" s="28"/>
      <c r="P5" s="28"/>
      <c r="Q5" s="28"/>
      <c r="R5" s="28"/>
      <c r="S5" s="28"/>
      <c r="T5" s="28"/>
      <c r="U5" s="28"/>
      <c r="V5" s="28"/>
      <c r="W5" s="28"/>
      <c r="X5" s="28"/>
      <c r="Y5" s="28"/>
      <c r="Z5" s="28"/>
    </row>
    <row r="6">
      <c r="A6" s="8" t="s">
        <v>130</v>
      </c>
      <c r="B6" s="110"/>
      <c r="C6" s="114" t="str">
        <f t="array" ref="C6">ifs(and(isblank($A6),isblank($B6)),"", not(iserror(vlookup($A6&amp;$B6,'5) Release_Track'!$F:$F&amp;'5) Release_Track'!$G:$G,1,0))),vlookup($A6&amp;$B6,{'5) Release_Track'!$F:$F&amp;'5) Release_Track'!$G:$G,'5) Release_Track'!$H:$H},2,0),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Receba</v>
      </c>
      <c r="D6" s="114" t="str">
        <f t="array" ref="D6">ifs(and(isblank($A6),isblank($B6)),"", not(iserror(vlookup($A6&amp;$B6,'5) Release_Track'!$F:$F&amp;'5) Release_Track'!$G:$G,1,0))),vlookup($A6&amp;$B6,{'5) Release_Track'!$F:$F&amp;'5) Release_Track'!$G:$G,'5) Release_Track'!$I:$I},2,0),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Extended</v>
      </c>
      <c r="E6" s="51" t="s">
        <v>153</v>
      </c>
      <c r="F6" s="88" t="s">
        <v>166</v>
      </c>
      <c r="G6" s="156">
        <v>0.4</v>
      </c>
      <c r="H6" s="157">
        <f t="shared" si="1"/>
        <v>1</v>
      </c>
      <c r="I6" s="8" t="s">
        <v>167</v>
      </c>
      <c r="J6" s="158"/>
      <c r="K6" s="28"/>
      <c r="L6" s="8" t="str">
        <f>"insert into ComposerContent VALUES ((select max(ComposerId) from Composers where Name=N'"&amp;SUBSTITUTE(trim(E6),"'","''")&amp;"' and EnterpriseId="&amp;EntId&amp;"), "&amp;G6*100&amp;", "&amp;if(ISBLANK(B6),"(select max(TrackId) from tracks where isrc='"&amp;A6&amp;"' and EnterpriseId="&amp;EntId&amp;")","(select max(TrackId) from Tracks where TrackVendorId='"&amp;SUBSTITUTE(B6,"'","''")&amp;"' and  EnterpriseId="&amp;EntId&amp;")")&amp;", null, 0, 0, "&amp;if(I6&lt;&gt;"Published (managed by a publisher)", "null", "(select PublisherId from Publishers where name=N'"&amp;SUBSTITUTE(trim(J6),"'","''")&amp;"' and EnterpriseId="&amp;EntId&amp;")")&amp;" , null, (select RightsId from MechanicalsRights where RightsName='"&amp;SUBSTITUTE(I6,"'","''")&amp;"'), null, null, (select RoleId from ContributorRoles where Name='"&amp;F6&amp;"'))"</f>
        <v>insert into ComposerContent VALUES ((select max(ComposerId) from Composers where Name=N'Jackson Bertholdo Dos Santos' and EnterpriseId=414849), 40, (select max(TrackId) from tracks where isrc='QZW9M2221000' and EnterpriseId=414849), null, 0, 0, null , null, (select RightsId from MechanicalsRights where RightsName='Copyright control (self-published)'), null, null, (select RoleId from ContributorRoles where Name='Composer &amp; Lyricist'))</v>
      </c>
      <c r="N6" s="28"/>
      <c r="O6" s="28"/>
      <c r="P6" s="28"/>
      <c r="Q6" s="28"/>
      <c r="R6" s="28"/>
      <c r="S6" s="28"/>
      <c r="T6" s="28"/>
      <c r="U6" s="28"/>
      <c r="V6" s="28"/>
      <c r="W6" s="28"/>
      <c r="X6" s="28"/>
      <c r="Y6" s="28"/>
      <c r="Z6" s="28"/>
    </row>
    <row r="7">
      <c r="A7" s="8" t="s">
        <v>135</v>
      </c>
      <c r="B7" s="110"/>
      <c r="C7" s="114" t="str">
        <f t="array" ref="C7">ifs(and(isblank($A7),isblank($B7)),"", not(iserror(vlookup($A7&amp;$B7,'5) Release_Track'!$F:$F&amp;'5) Release_Track'!$G:$G,1,0))),vlookup($A7&amp;$B7,{'5) Release_Track'!$F:$F&amp;'5) Release_Track'!$G:$G,'5) Release_Track'!$H:$H},2,0), or(and(not(isblank($B7)),$B7=$B5,$A7&lt;&gt;$A5),and(not(isblank($A7)),$A7=$A5,$B7&lt;&gt;$B5)),"ID LISTS UNALIGNED",and($A7&lt;&gt;"",countif('5) Release_Track'!$F:$F,$A7)=0),"NO ISRC MATCH in Release_Track",and($B7&lt;&gt;"",countif('5) Release_Track'!$G:$G,$B7)=0),"NO CATALOG ID MATCH in Release_Track",iserror(vlookup($A7&amp;$B7,'5) Release_Track'!$F:$F&amp;'5) Release_Track'!$G:$G,1,0)),"NO ISRC-CATALOG ID pair MATCH in Release_Track" )</f>
        <v>A Cláusula do Contrato</v>
      </c>
      <c r="D7" s="114" t="str">
        <f t="array" ref="D7">ifs(and(isblank($A7),isblank($B7)),"", not(iserror(vlookup($A7&amp;$B7,'5) Release_Track'!$F:$F&amp;'5) Release_Track'!$G:$G,1,0))),vlookup($A7&amp;$B7,{'5) Release_Track'!$F:$F&amp;'5) Release_Track'!$G:$G,'5) Release_Track'!$I:$I},2,0), or(and(not(isblank($B7)),$B7=$B5,$A7&lt;&gt;$A5),and(not(isblank($A7)),$A7=$A5,$B7&lt;&gt;$B5)),"ID LISTS UNALIGNED",and($A7&lt;&gt;"",countif('5) Release_Track'!$F:$F,$A7)=0),"NO ISRC MATCH in Release_Track",and($B7&lt;&gt;"",countif('5) Release_Track'!$G:$G,$B7)=0),"NO CATALOG ID MATCH in Release_Track",iserror(vlookup($A7&amp;$B7,'5) Release_Track'!$F:$F&amp;'5) Release_Track'!$G:$G,1,0)),"NO ISRC-CATALOG ID pair MATCH in Release_Track" )</f>
        <v/>
      </c>
      <c r="E7" s="51" t="s">
        <v>153</v>
      </c>
      <c r="F7" s="88" t="s">
        <v>166</v>
      </c>
      <c r="G7" s="156">
        <v>0.5</v>
      </c>
      <c r="H7" s="157">
        <f t="shared" si="1"/>
        <v>0.5</v>
      </c>
      <c r="I7" s="8" t="s">
        <v>168</v>
      </c>
      <c r="J7" s="158" t="s">
        <v>151</v>
      </c>
      <c r="K7" s="28"/>
      <c r="L7" s="8" t="str">
        <f>"insert into ComposerContent VALUES ((select max(ComposerId) from Composers where Name=N'"&amp;SUBSTITUTE(trim(E7),"'","''")&amp;"' and EnterpriseId="&amp;EntId&amp;"), "&amp;G7*100&amp;", "&amp;if(ISBLANK(B7),"(select max(TrackId) from tracks where isrc='"&amp;A7&amp;"' and EnterpriseId="&amp;EntId&amp;")","(select max(TrackId) from Tracks where TrackVendorId='"&amp;SUBSTITUTE(B7,"'","''")&amp;"' and  EnterpriseId="&amp;EntId&amp;")")&amp;", null, 0, 0, "&amp;if(I7&lt;&gt;"Published (managed by a publisher)", "null", "(select PublisherId from Publishers where name=N'"&amp;SUBSTITUTE(trim(J7),"'","''")&amp;"' and EnterpriseId="&amp;EntId&amp;")")&amp;" , null, (select RightsId from MechanicalsRights where RightsName='"&amp;SUBSTITUTE(I7,"'","''")&amp;"'), null, null, (select RoleId from ContributorRoles where Name='"&amp;F7&amp;"'))"</f>
        <v>insert into ComposerContent VALUES ((select max(ComposerId) from Composers where Name=N'Jackson Bertholdo Dos Santos' and EnterpriseId=414849), 50, (select max(TrackId) from tracks where isrc='QZW9M2236571' and EnterpriseId=414849), null, 0, 0, (select PublisherId from Publishers where name=N'SONY ATV' and EnterpriseId=414849) , null, (select RightsId from MechanicalsRights where RightsName='Published (managed by a publisher)'), null, null, (select RoleId from ContributorRoles where Name='Composer &amp; Lyricist'))</v>
      </c>
      <c r="M7" s="28" t="str">
        <f>VLOOKUP(A7,'9) Audio_Properties'!A:A,1,0)</f>
        <v>QZW9M2236571</v>
      </c>
      <c r="N7" s="28"/>
      <c r="O7" s="28"/>
      <c r="P7" s="28"/>
      <c r="Q7" s="28"/>
      <c r="R7" s="28"/>
      <c r="S7" s="28"/>
      <c r="T7" s="28"/>
      <c r="U7" s="28"/>
      <c r="V7" s="28"/>
      <c r="W7" s="28"/>
      <c r="X7" s="28"/>
      <c r="Y7" s="28"/>
      <c r="Z7" s="28"/>
    </row>
    <row r="8">
      <c r="A8" s="8" t="s">
        <v>135</v>
      </c>
      <c r="B8" s="110"/>
      <c r="C8" s="114" t="str">
        <f t="array" ref="C8">ifs(and(isblank($A8),isblank($B8)),"", not(iserror(vlookup($A8&amp;$B8,'5) Release_Track'!$F:$F&amp;'5) Release_Track'!$G:$G,1,0))),vlookup($A8&amp;$B8,{'5) Release_Track'!$F:$F&amp;'5) Release_Track'!$G:$G,'5) Release_Track'!$H:$H},2,0), or(and(not(isblank($B8)),$B8=$B6,$A8&lt;&gt;$A6),and(not(isblank($A8)),$A8=$A6,$B8&lt;&gt;$B6)),"ID LISTS UNALIGNED",and($A8&lt;&gt;"",countif('5) Release_Track'!$F:$F,$A8)=0),"NO ISRC MATCH in Release_Track",and($B8&lt;&gt;"",countif('5) Release_Track'!$G:$G,$B8)=0),"NO CATALOG ID MATCH in Release_Track",iserror(vlookup($A8&amp;$B8,'5) Release_Track'!$F:$F&amp;'5) Release_Track'!$G:$G,1,0)),"NO ISRC-CATALOG ID pair MATCH in Release_Track" )</f>
        <v>A Cláusula do Contrato</v>
      </c>
      <c r="D8" s="114" t="str">
        <f t="array" ref="D8">ifs(and(isblank($A8),isblank($B8)),"", not(iserror(vlookup($A8&amp;$B8,'5) Release_Track'!$F:$F&amp;'5) Release_Track'!$G:$G,1,0))),vlookup($A8&amp;$B8,{'5) Release_Track'!$F:$F&amp;'5) Release_Track'!$G:$G,'5) Release_Track'!$I:$I},2,0), or(and(not(isblank($B8)),$B8=$B6,$A8&lt;&gt;$A6),and(not(isblank($A8)),$A8=$A6,$B8&lt;&gt;$B6)),"ID LISTS UNALIGNED",and($A8&lt;&gt;"",countif('5) Release_Track'!$F:$F,$A8)=0),"NO ISRC MATCH in Release_Track",and($B8&lt;&gt;"",countif('5) Release_Track'!$G:$G,$B8)=0),"NO CATALOG ID MATCH in Release_Track",iserror(vlookup($A8&amp;$B8,'5) Release_Track'!$F:$F&amp;'5) Release_Track'!$G:$G,1,0)),"NO ISRC-CATALOG ID pair MATCH in Release_Track" )</f>
        <v/>
      </c>
      <c r="E8" s="43" t="s">
        <v>150</v>
      </c>
      <c r="F8" s="88" t="s">
        <v>166</v>
      </c>
      <c r="G8" s="156">
        <v>0.5</v>
      </c>
      <c r="H8" s="157">
        <f t="shared" si="1"/>
        <v>1</v>
      </c>
      <c r="I8" s="8" t="s">
        <v>168</v>
      </c>
      <c r="J8" s="158" t="s">
        <v>154</v>
      </c>
      <c r="K8" s="28"/>
      <c r="L8" s="8" t="str">
        <f>"insert into ComposerContent VALUES ((select max(ComposerId) from Composers where Name=N'"&amp;SUBSTITUTE(trim(E8),"'","''")&amp;"' and EnterpriseId="&amp;EntId&amp;"), "&amp;G8*100&amp;", "&amp;if(ISBLANK(B8),"(select max(TrackId) from tracks where isrc='"&amp;A8&amp;"' and EnterpriseId="&amp;EntId&amp;")","(select max(TrackId) from Tracks where TrackVendorId='"&amp;SUBSTITUTE(B8,"'","''")&amp;"' and  EnterpriseId="&amp;EntId&amp;")")&amp;", null, 0, 0, "&amp;if(I8&lt;&gt;"Published (managed by a publisher)", "null", "(select PublisherId from Publishers where name=N'"&amp;SUBSTITUTE(trim(J8),"'","''")&amp;"' and EnterpriseId="&amp;EntId&amp;")")&amp;" , null, (select RightsId from MechanicalsRights where RightsName='"&amp;SUBSTITUTE(I8,"'","''")&amp;"'), null, null, (select RoleId from ContributorRoles where Name='"&amp;F8&amp;"'))"</f>
        <v>insert into ComposerContent VALUES ((select max(ComposerId) from Composers where Name=N'Agnaldo Paulino de Jesus Júnior' and EnterpriseId=414849), 50, (select max(TrackId) from tracks where isrc='QZW9M2236571' and EnterpriseId=414849), null, 0, 0, (select PublisherId from Publishers where name=N'WARNER CHAPPEL' and EnterpriseId=414849) , null, (select RightsId from MechanicalsRights where RightsName='Published (managed by a publisher)'), null, null, (select RoleId from ContributorRoles where Name='Composer &amp; Lyricist'))</v>
      </c>
      <c r="M8" s="28" t="str">
        <f>VLOOKUP(A8,'9) Audio_Properties'!A:A,1,0)</f>
        <v>QZW9M2236571</v>
      </c>
      <c r="N8" s="28"/>
      <c r="O8" s="28"/>
      <c r="P8" s="28"/>
      <c r="Q8" s="28"/>
      <c r="R8" s="28"/>
      <c r="S8" s="28"/>
      <c r="T8" s="28"/>
      <c r="U8" s="28"/>
      <c r="V8" s="28"/>
      <c r="W8" s="28"/>
      <c r="X8" s="28"/>
      <c r="Y8" s="28"/>
      <c r="Z8" s="28"/>
    </row>
    <row r="9">
      <c r="B9" s="93"/>
      <c r="C9" s="114" t="str">
        <f t="array" ref="C9">ifs(and(isblank($A9),isblank($B9)),"", not(iserror(vlookup($A9&amp;$B9,'5) Release_Track'!$F:$F&amp;'5) Release_Track'!$G:$G,1,0))),vlookup($A9&amp;$B9,{'5) Release_Track'!$F:$F&amp;'5) Release_Track'!$G:$G,'5) Release_Track'!$H:$H},2,0),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D9" s="114" t="str">
        <f t="array" ref="D9">ifs(and(isblank($A9),isblank($B9)),"", not(iserror(vlookup($A9&amp;$B9,'5) Release_Track'!$F:$F&amp;'5) Release_Track'!$G:$G,1,0))),vlookup($A9&amp;$B9,{'5) Release_Track'!$F:$F&amp;'5) Release_Track'!$G:$G,'5) Release_Track'!$I:$I},2,0),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E9" s="88"/>
      <c r="F9" s="20"/>
      <c r="G9" s="159"/>
      <c r="H9" s="114" t="str">
        <f t="shared" si="1"/>
        <v/>
      </c>
      <c r="I9" s="20"/>
      <c r="J9" s="20"/>
    </row>
    <row r="10">
      <c r="B10" s="93"/>
      <c r="C10" s="114" t="str">
        <f t="array" ref="C10">ifs(and(isblank($A10),isblank($B10)),"", not(iserror(vlookup($A10&amp;$B10,'5) Release_Track'!$F:$F&amp;'5) Release_Track'!$G:$G,1,0))),vlookup($A10&amp;$B10,{'5) Release_Track'!$F:$F&amp;'5) Release_Track'!$G:$G,'5) Release_Track'!$H:$H},2,0),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D10" s="114" t="str">
        <f t="array" ref="D10">ifs(and(isblank($A10),isblank($B10)),"", not(iserror(vlookup($A10&amp;$B10,'5) Release_Track'!$F:$F&amp;'5) Release_Track'!$G:$G,1,0))),vlookup($A10&amp;$B10,{'5) Release_Track'!$F:$F&amp;'5) Release_Track'!$G:$G,'5) Release_Track'!$I:$I},2,0),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88"/>
      <c r="F10" s="20"/>
      <c r="G10" s="159"/>
      <c r="H10" s="114" t="str">
        <f t="shared" si="1"/>
        <v/>
      </c>
      <c r="I10" s="20"/>
      <c r="J10" s="20"/>
    </row>
    <row r="11">
      <c r="B11" s="93"/>
      <c r="C11" s="114"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D11" s="114"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88"/>
      <c r="F11" s="20"/>
      <c r="G11" s="159"/>
      <c r="H11" s="114" t="str">
        <f t="shared" si="1"/>
        <v/>
      </c>
      <c r="I11" s="20"/>
      <c r="J11" s="20"/>
    </row>
    <row r="12">
      <c r="B12" s="93"/>
      <c r="C12" s="114"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D12" s="114"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88"/>
      <c r="F12" s="20"/>
      <c r="G12" s="159"/>
      <c r="H12" s="114" t="str">
        <f t="shared" si="1"/>
        <v/>
      </c>
      <c r="I12" s="20"/>
      <c r="J12" s="20"/>
    </row>
    <row r="13">
      <c r="B13" s="93"/>
      <c r="C13" s="114"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D13" s="114"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88"/>
      <c r="F13" s="20"/>
      <c r="G13" s="159"/>
      <c r="H13" s="114" t="str">
        <f t="shared" si="1"/>
        <v/>
      </c>
      <c r="I13" s="20"/>
      <c r="J13" s="20"/>
    </row>
    <row r="14">
      <c r="B14" s="93"/>
      <c r="C14" s="114"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D14" s="114"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88"/>
      <c r="F14" s="20"/>
      <c r="G14" s="159"/>
      <c r="H14" s="114" t="str">
        <f t="shared" si="1"/>
        <v/>
      </c>
      <c r="I14" s="20"/>
      <c r="J14" s="20"/>
    </row>
    <row r="15">
      <c r="B15" s="93"/>
      <c r="C15" s="114"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D15" s="114"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88"/>
      <c r="F15" s="20"/>
      <c r="G15" s="159"/>
      <c r="H15" s="114" t="str">
        <f t="shared" si="1"/>
        <v/>
      </c>
      <c r="I15" s="20"/>
      <c r="J15" s="20"/>
    </row>
    <row r="16">
      <c r="B16" s="93"/>
      <c r="C16" s="114"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D16" s="114"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88"/>
      <c r="F16" s="20"/>
      <c r="G16" s="159"/>
      <c r="H16" s="114" t="str">
        <f t="shared" si="1"/>
        <v/>
      </c>
      <c r="I16" s="20"/>
      <c r="J16" s="20"/>
    </row>
    <row r="17">
      <c r="B17" s="93"/>
      <c r="C17" s="114"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D17" s="114"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88"/>
      <c r="F17" s="20"/>
      <c r="G17" s="159"/>
      <c r="H17" s="114" t="str">
        <f t="shared" si="1"/>
        <v/>
      </c>
      <c r="I17" s="20"/>
      <c r="J17" s="20"/>
    </row>
    <row r="18">
      <c r="B18" s="93"/>
      <c r="C18" s="114"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D18" s="114"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88"/>
      <c r="F18" s="20"/>
      <c r="G18" s="159"/>
      <c r="H18" s="114" t="str">
        <f t="shared" si="1"/>
        <v/>
      </c>
      <c r="I18" s="20"/>
      <c r="J18" s="20"/>
    </row>
    <row r="19">
      <c r="B19" s="93"/>
      <c r="C19" s="114"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D19" s="114"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88"/>
      <c r="F19" s="20"/>
      <c r="G19" s="159"/>
      <c r="H19" s="114" t="str">
        <f t="shared" si="1"/>
        <v/>
      </c>
      <c r="I19" s="20"/>
      <c r="J19" s="20"/>
    </row>
    <row r="20">
      <c r="B20" s="93"/>
      <c r="C20" s="114"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D20" s="114"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88"/>
      <c r="F20" s="20"/>
      <c r="G20" s="159"/>
      <c r="H20" s="114" t="str">
        <f t="shared" si="1"/>
        <v/>
      </c>
      <c r="I20" s="20"/>
      <c r="J20" s="20"/>
    </row>
    <row r="21">
      <c r="B21" s="93"/>
      <c r="C21" s="114"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D21" s="114"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88"/>
      <c r="F21" s="20"/>
      <c r="G21" s="159"/>
      <c r="H21" s="114" t="str">
        <f t="shared" si="1"/>
        <v/>
      </c>
      <c r="I21" s="20"/>
      <c r="J21" s="20"/>
    </row>
    <row r="22">
      <c r="B22" s="93"/>
      <c r="C22" s="114"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D22" s="114"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88"/>
      <c r="F22" s="20"/>
      <c r="G22" s="159"/>
      <c r="H22" s="114" t="str">
        <f t="shared" si="1"/>
        <v/>
      </c>
      <c r="I22" s="20"/>
      <c r="J22" s="20"/>
    </row>
    <row r="23">
      <c r="B23" s="93"/>
      <c r="C23" s="114"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D23" s="114"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88"/>
      <c r="F23" s="20"/>
      <c r="G23" s="159"/>
      <c r="H23" s="114" t="str">
        <f t="shared" si="1"/>
        <v/>
      </c>
      <c r="I23" s="20"/>
      <c r="J23" s="20"/>
    </row>
    <row r="24">
      <c r="B24" s="93"/>
      <c r="C24" s="114"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D24" s="114"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88"/>
      <c r="F24" s="20"/>
      <c r="G24" s="159"/>
      <c r="H24" s="114" t="str">
        <f t="shared" si="1"/>
        <v/>
      </c>
      <c r="I24" s="20"/>
      <c r="J24" s="20"/>
    </row>
    <row r="25">
      <c r="B25" s="93"/>
      <c r="C25" s="114"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D25" s="114"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88"/>
      <c r="F25" s="20"/>
      <c r="G25" s="159"/>
      <c r="H25" s="114" t="str">
        <f t="shared" si="1"/>
        <v/>
      </c>
      <c r="I25" s="20"/>
      <c r="J25" s="20"/>
    </row>
    <row r="26">
      <c r="B26" s="93"/>
      <c r="C26" s="114"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D26" s="114"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88"/>
      <c r="F26" s="20"/>
      <c r="G26" s="159"/>
      <c r="H26" s="114" t="str">
        <f t="shared" si="1"/>
        <v/>
      </c>
      <c r="I26" s="20"/>
      <c r="J26" s="20"/>
    </row>
    <row r="27">
      <c r="B27" s="93"/>
      <c r="C27" s="114"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D27" s="114"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88"/>
      <c r="F27" s="20"/>
      <c r="G27" s="159"/>
      <c r="H27" s="114" t="str">
        <f t="shared" si="1"/>
        <v/>
      </c>
      <c r="I27" s="20"/>
      <c r="J27" s="20"/>
    </row>
    <row r="28">
      <c r="B28" s="93"/>
      <c r="C28" s="114"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D28" s="114"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88"/>
      <c r="F28" s="20"/>
      <c r="G28" s="159"/>
      <c r="H28" s="114" t="str">
        <f t="shared" si="1"/>
        <v/>
      </c>
      <c r="I28" s="20"/>
      <c r="J28" s="20"/>
    </row>
    <row r="29">
      <c r="B29" s="93"/>
      <c r="C29" s="114"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D29" s="114"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88"/>
      <c r="F29" s="20"/>
      <c r="G29" s="159"/>
      <c r="H29" s="114" t="str">
        <f t="shared" si="1"/>
        <v/>
      </c>
      <c r="I29" s="20"/>
      <c r="J29" s="20"/>
    </row>
    <row r="30">
      <c r="B30" s="93"/>
      <c r="C30" s="114"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D30" s="114"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88"/>
      <c r="F30" s="20"/>
      <c r="G30" s="159"/>
      <c r="H30" s="114" t="str">
        <f t="shared" si="1"/>
        <v/>
      </c>
      <c r="I30" s="20"/>
      <c r="J30" s="20"/>
    </row>
    <row r="31">
      <c r="B31" s="93"/>
      <c r="C31" s="114"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D31" s="114"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88"/>
      <c r="F31" s="20"/>
      <c r="G31" s="159"/>
      <c r="H31" s="114" t="str">
        <f t="shared" si="1"/>
        <v/>
      </c>
      <c r="I31" s="20"/>
      <c r="J31" s="20"/>
    </row>
    <row r="32">
      <c r="B32" s="93"/>
      <c r="C32" s="114"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D32" s="114"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88"/>
      <c r="F32" s="20"/>
      <c r="G32" s="159"/>
      <c r="H32" s="114" t="str">
        <f t="shared" si="1"/>
        <v/>
      </c>
      <c r="I32" s="20"/>
      <c r="J32" s="20"/>
    </row>
    <row r="33">
      <c r="B33" s="93"/>
      <c r="C33" s="114"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D33" s="114"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88"/>
      <c r="F33" s="20"/>
      <c r="G33" s="159"/>
      <c r="H33" s="114" t="str">
        <f t="shared" si="1"/>
        <v/>
      </c>
      <c r="I33" s="20"/>
      <c r="J33" s="20"/>
    </row>
    <row r="34">
      <c r="B34" s="93"/>
      <c r="C34" s="114"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D34" s="114"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88"/>
      <c r="F34" s="20"/>
      <c r="G34" s="159"/>
      <c r="H34" s="114" t="str">
        <f t="shared" si="1"/>
        <v/>
      </c>
      <c r="I34" s="20"/>
      <c r="J34" s="20"/>
    </row>
    <row r="35">
      <c r="B35" s="93"/>
      <c r="C35" s="114"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D35" s="114"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88"/>
      <c r="F35" s="20"/>
      <c r="G35" s="159"/>
      <c r="H35" s="114" t="str">
        <f t="shared" si="1"/>
        <v/>
      </c>
      <c r="I35" s="20"/>
      <c r="J35" s="20"/>
    </row>
    <row r="36">
      <c r="B36" s="93"/>
      <c r="C36" s="114"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D36" s="114"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88"/>
      <c r="F36" s="20"/>
      <c r="G36" s="159"/>
      <c r="H36" s="114" t="str">
        <f t="shared" si="1"/>
        <v/>
      </c>
      <c r="I36" s="20"/>
      <c r="J36" s="20"/>
    </row>
    <row r="37">
      <c r="B37" s="93"/>
      <c r="C37" s="114"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D37" s="114"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88"/>
      <c r="F37" s="20"/>
      <c r="G37" s="159"/>
      <c r="H37" s="114" t="str">
        <f t="shared" si="1"/>
        <v/>
      </c>
      <c r="I37" s="20"/>
      <c r="J37" s="20"/>
    </row>
    <row r="38">
      <c r="B38" s="93"/>
      <c r="C38" s="114"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D38" s="114"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88"/>
      <c r="F38" s="20"/>
      <c r="G38" s="159"/>
      <c r="H38" s="114" t="str">
        <f t="shared" si="1"/>
        <v/>
      </c>
      <c r="I38" s="20"/>
      <c r="J38" s="20"/>
    </row>
    <row r="39">
      <c r="B39" s="93"/>
      <c r="C39" s="114"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D39" s="114"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88"/>
      <c r="F39" s="20"/>
      <c r="G39" s="159"/>
      <c r="H39" s="114" t="str">
        <f t="shared" si="1"/>
        <v/>
      </c>
      <c r="I39" s="20"/>
      <c r="J39" s="20"/>
    </row>
    <row r="40">
      <c r="B40" s="93"/>
      <c r="C40" s="114"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D40" s="114"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88"/>
      <c r="F40" s="20"/>
      <c r="G40" s="159"/>
      <c r="H40" s="114" t="str">
        <f t="shared" si="1"/>
        <v/>
      </c>
      <c r="I40" s="20"/>
      <c r="J40" s="20"/>
    </row>
    <row r="41">
      <c r="B41" s="93"/>
      <c r="C41" s="114"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D41" s="114"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88"/>
      <c r="F41" s="20"/>
      <c r="G41" s="159"/>
      <c r="H41" s="114" t="str">
        <f t="shared" si="1"/>
        <v/>
      </c>
      <c r="I41" s="20"/>
      <c r="J41" s="20"/>
    </row>
    <row r="42">
      <c r="B42" s="93"/>
      <c r="C42" s="114"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D42" s="114"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88"/>
      <c r="F42" s="20"/>
      <c r="G42" s="159"/>
      <c r="H42" s="114" t="str">
        <f t="shared" si="1"/>
        <v/>
      </c>
      <c r="I42" s="20"/>
      <c r="J42" s="20"/>
    </row>
    <row r="43">
      <c r="B43" s="93"/>
      <c r="C43" s="114"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D43" s="114"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88"/>
      <c r="F43" s="20"/>
      <c r="G43" s="159"/>
      <c r="H43" s="114" t="str">
        <f t="shared" si="1"/>
        <v/>
      </c>
      <c r="I43" s="20"/>
      <c r="J43" s="20"/>
    </row>
    <row r="44">
      <c r="B44" s="93"/>
      <c r="C44" s="114"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D44" s="114"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88"/>
      <c r="F44" s="20"/>
      <c r="G44" s="159"/>
      <c r="H44" s="114" t="str">
        <f t="shared" si="1"/>
        <v/>
      </c>
      <c r="I44" s="20"/>
      <c r="J44" s="20"/>
    </row>
    <row r="45">
      <c r="B45" s="93"/>
      <c r="C45" s="114"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D45" s="114"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88"/>
      <c r="F45" s="20"/>
      <c r="G45" s="159"/>
      <c r="H45" s="114" t="str">
        <f t="shared" si="1"/>
        <v/>
      </c>
      <c r="I45" s="20"/>
      <c r="J45" s="20"/>
    </row>
    <row r="46">
      <c r="B46" s="93"/>
      <c r="C46" s="114"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D46" s="114"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88"/>
      <c r="F46" s="20"/>
      <c r="G46" s="159"/>
      <c r="H46" s="114" t="str">
        <f t="shared" si="1"/>
        <v/>
      </c>
      <c r="I46" s="20"/>
      <c r="J46" s="20"/>
    </row>
    <row r="47">
      <c r="B47" s="93"/>
      <c r="C47" s="114"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D47" s="114"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88"/>
      <c r="F47" s="20"/>
      <c r="G47" s="159"/>
      <c r="H47" s="114" t="str">
        <f t="shared" si="1"/>
        <v/>
      </c>
      <c r="I47" s="20"/>
      <c r="J47" s="20"/>
    </row>
    <row r="48">
      <c r="B48" s="93"/>
      <c r="C48" s="114"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D48" s="114"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88"/>
      <c r="F48" s="20"/>
      <c r="G48" s="159"/>
      <c r="H48" s="114" t="str">
        <f t="shared" si="1"/>
        <v/>
      </c>
      <c r="I48" s="20"/>
      <c r="J48" s="20"/>
    </row>
    <row r="49">
      <c r="B49" s="93"/>
      <c r="C49" s="114"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D49" s="114"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88"/>
      <c r="F49" s="20"/>
      <c r="G49" s="159"/>
      <c r="H49" s="114" t="str">
        <f t="shared" si="1"/>
        <v/>
      </c>
      <c r="I49" s="20"/>
      <c r="J49" s="20"/>
    </row>
    <row r="50">
      <c r="B50" s="93"/>
      <c r="C50" s="114"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D50" s="114"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88"/>
      <c r="F50" s="20"/>
      <c r="G50" s="159"/>
      <c r="H50" s="114" t="str">
        <f t="shared" si="1"/>
        <v/>
      </c>
      <c r="I50" s="20"/>
      <c r="J50" s="20"/>
    </row>
    <row r="51">
      <c r="B51" s="93"/>
      <c r="C51" s="114"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D51" s="114"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88"/>
      <c r="F51" s="20"/>
      <c r="G51" s="159"/>
      <c r="H51" s="114" t="str">
        <f t="shared" si="1"/>
        <v/>
      </c>
      <c r="I51" s="20"/>
      <c r="J51" s="20"/>
    </row>
    <row r="52">
      <c r="B52" s="93"/>
      <c r="C52" s="114"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D52" s="114"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88"/>
      <c r="F52" s="20"/>
      <c r="G52" s="159"/>
      <c r="H52" s="114" t="str">
        <f t="shared" si="1"/>
        <v/>
      </c>
      <c r="I52" s="20"/>
      <c r="J52" s="20"/>
    </row>
    <row r="53">
      <c r="B53" s="93"/>
      <c r="C53" s="114"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D53" s="114"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88"/>
      <c r="F53" s="20"/>
      <c r="G53" s="159"/>
      <c r="H53" s="114" t="str">
        <f t="shared" si="1"/>
        <v/>
      </c>
      <c r="I53" s="20"/>
      <c r="J53" s="20"/>
    </row>
    <row r="54">
      <c r="B54" s="93"/>
      <c r="C54" s="114"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D54" s="114"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88"/>
      <c r="F54" s="20"/>
      <c r="G54" s="159"/>
      <c r="H54" s="114" t="str">
        <f t="shared" si="1"/>
        <v/>
      </c>
      <c r="I54" s="20"/>
      <c r="J54" s="20"/>
    </row>
    <row r="55">
      <c r="B55" s="93"/>
      <c r="C55" s="114"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D55" s="114"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88"/>
      <c r="F55" s="20"/>
      <c r="G55" s="159"/>
      <c r="H55" s="114" t="str">
        <f t="shared" si="1"/>
        <v/>
      </c>
      <c r="I55" s="20"/>
      <c r="J55" s="20"/>
    </row>
    <row r="56">
      <c r="B56" s="93"/>
      <c r="C56" s="114"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D56" s="114"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88"/>
      <c r="F56" s="20"/>
      <c r="G56" s="159"/>
      <c r="H56" s="114" t="str">
        <f t="shared" si="1"/>
        <v/>
      </c>
      <c r="I56" s="20"/>
      <c r="J56" s="20"/>
    </row>
    <row r="57">
      <c r="B57" s="93"/>
      <c r="C57" s="114"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D57" s="114"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88"/>
      <c r="F57" s="20"/>
      <c r="G57" s="159"/>
      <c r="H57" s="114" t="str">
        <f t="shared" si="1"/>
        <v/>
      </c>
      <c r="I57" s="20"/>
      <c r="J57" s="20"/>
    </row>
    <row r="58">
      <c r="B58" s="93"/>
      <c r="C58" s="114"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D58" s="114"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88"/>
      <c r="F58" s="20"/>
      <c r="G58" s="159"/>
      <c r="H58" s="114" t="str">
        <f t="shared" si="1"/>
        <v/>
      </c>
      <c r="I58" s="20"/>
      <c r="J58" s="20"/>
    </row>
    <row r="59">
      <c r="B59" s="93"/>
      <c r="C59" s="114"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D59" s="114"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88"/>
      <c r="F59" s="20"/>
      <c r="G59" s="159"/>
      <c r="H59" s="114" t="str">
        <f t="shared" si="1"/>
        <v/>
      </c>
      <c r="I59" s="20"/>
      <c r="J59" s="20"/>
    </row>
    <row r="60">
      <c r="B60" s="93"/>
      <c r="C60" s="114"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D60" s="114"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88"/>
      <c r="F60" s="20"/>
      <c r="G60" s="159"/>
      <c r="H60" s="114" t="str">
        <f t="shared" si="1"/>
        <v/>
      </c>
      <c r="I60" s="20"/>
      <c r="J60" s="20"/>
    </row>
    <row r="61">
      <c r="B61" s="93"/>
      <c r="C61" s="114"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D61" s="114"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88"/>
      <c r="F61" s="20"/>
      <c r="G61" s="159"/>
      <c r="H61" s="114" t="str">
        <f t="shared" si="1"/>
        <v/>
      </c>
      <c r="I61" s="20"/>
      <c r="J61" s="20"/>
    </row>
    <row r="62">
      <c r="B62" s="93"/>
      <c r="C62" s="114"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D62" s="114"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88"/>
      <c r="F62" s="20"/>
      <c r="G62" s="159"/>
      <c r="H62" s="114" t="str">
        <f t="shared" si="1"/>
        <v/>
      </c>
      <c r="I62" s="20"/>
      <c r="J62" s="20"/>
    </row>
    <row r="63">
      <c r="B63" s="93"/>
      <c r="C63" s="114"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D63" s="114"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88"/>
      <c r="F63" s="20"/>
      <c r="G63" s="159"/>
      <c r="H63" s="114" t="str">
        <f t="shared" si="1"/>
        <v/>
      </c>
      <c r="I63" s="20"/>
      <c r="J63" s="20"/>
    </row>
    <row r="64">
      <c r="B64" s="93"/>
      <c r="C64" s="114"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D64" s="114"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88"/>
      <c r="F64" s="20"/>
      <c r="G64" s="159"/>
      <c r="H64" s="114" t="str">
        <f t="shared" si="1"/>
        <v/>
      </c>
      <c r="I64" s="20"/>
      <c r="J64" s="20"/>
    </row>
    <row r="65">
      <c r="B65" s="93"/>
      <c r="C65" s="114"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D65" s="114"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88"/>
      <c r="F65" s="20"/>
      <c r="G65" s="159"/>
      <c r="H65" s="114" t="str">
        <f t="shared" si="1"/>
        <v/>
      </c>
      <c r="I65" s="20"/>
      <c r="J65" s="20"/>
    </row>
    <row r="66">
      <c r="B66" s="93"/>
      <c r="C66" s="114"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D66" s="114"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88"/>
      <c r="F66" s="20"/>
      <c r="G66" s="159"/>
      <c r="H66" s="114" t="str">
        <f t="shared" si="1"/>
        <v/>
      </c>
      <c r="I66" s="20"/>
      <c r="J66" s="20"/>
    </row>
    <row r="67">
      <c r="B67" s="93"/>
      <c r="C67" s="114"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D67" s="114"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88"/>
      <c r="F67" s="20"/>
      <c r="G67" s="159"/>
      <c r="H67" s="114" t="str">
        <f t="shared" si="1"/>
        <v/>
      </c>
      <c r="I67" s="20"/>
      <c r="J67" s="20"/>
    </row>
    <row r="68">
      <c r="B68" s="93"/>
      <c r="C68" s="114"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D68" s="114"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88"/>
      <c r="F68" s="20"/>
      <c r="G68" s="159"/>
      <c r="H68" s="114" t="str">
        <f t="shared" si="1"/>
        <v/>
      </c>
      <c r="I68" s="20"/>
      <c r="J68" s="20"/>
    </row>
    <row r="69">
      <c r="B69" s="93"/>
      <c r="C69" s="114"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D69" s="114"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88"/>
      <c r="F69" s="20"/>
      <c r="G69" s="159"/>
      <c r="H69" s="114" t="str">
        <f t="shared" si="1"/>
        <v/>
      </c>
      <c r="I69" s="20"/>
      <c r="J69" s="20"/>
    </row>
    <row r="70">
      <c r="B70" s="93"/>
      <c r="C70" s="114"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D70" s="114"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88"/>
      <c r="F70" s="20"/>
      <c r="G70" s="159"/>
      <c r="H70" s="114" t="str">
        <f t="shared" si="1"/>
        <v/>
      </c>
      <c r="I70" s="20"/>
      <c r="J70" s="20"/>
    </row>
    <row r="71">
      <c r="B71" s="93"/>
      <c r="C71" s="114"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D71" s="114"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88"/>
      <c r="F71" s="20"/>
      <c r="G71" s="159"/>
      <c r="H71" s="114" t="str">
        <f t="shared" si="1"/>
        <v/>
      </c>
      <c r="I71" s="20"/>
      <c r="J71" s="20"/>
    </row>
    <row r="72">
      <c r="B72" s="93"/>
      <c r="C72" s="114"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D72" s="114"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88"/>
      <c r="F72" s="20"/>
      <c r="G72" s="159"/>
      <c r="H72" s="114" t="str">
        <f t="shared" si="1"/>
        <v/>
      </c>
      <c r="I72" s="20"/>
      <c r="J72" s="20"/>
    </row>
    <row r="73">
      <c r="B73" s="93"/>
      <c r="C73" s="114"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D73" s="114"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88"/>
      <c r="F73" s="20"/>
      <c r="G73" s="159"/>
      <c r="H73" s="114" t="str">
        <f t="shared" si="1"/>
        <v/>
      </c>
      <c r="I73" s="20"/>
      <c r="J73" s="20"/>
    </row>
    <row r="74">
      <c r="B74" s="93"/>
      <c r="C74" s="114"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D74" s="114"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88"/>
      <c r="F74" s="20"/>
      <c r="G74" s="159"/>
      <c r="H74" s="114" t="str">
        <f t="shared" si="1"/>
        <v/>
      </c>
      <c r="I74" s="20"/>
      <c r="J74" s="20"/>
    </row>
    <row r="75">
      <c r="B75" s="93"/>
      <c r="C75" s="114"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D75" s="114"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88"/>
      <c r="F75" s="20"/>
      <c r="G75" s="159"/>
      <c r="H75" s="114" t="str">
        <f t="shared" si="1"/>
        <v/>
      </c>
      <c r="I75" s="20"/>
      <c r="J75" s="20"/>
    </row>
    <row r="76">
      <c r="B76" s="93"/>
      <c r="C76" s="114"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D76" s="114"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88"/>
      <c r="F76" s="20"/>
      <c r="G76" s="159"/>
      <c r="H76" s="114" t="str">
        <f t="shared" si="1"/>
        <v/>
      </c>
      <c r="I76" s="20"/>
      <c r="J76" s="20"/>
    </row>
    <row r="77">
      <c r="B77" s="93"/>
      <c r="C77" s="114"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D77" s="114"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88"/>
      <c r="F77" s="20"/>
      <c r="G77" s="159"/>
      <c r="H77" s="114" t="str">
        <f t="shared" si="1"/>
        <v/>
      </c>
      <c r="I77" s="20"/>
      <c r="J77" s="20"/>
    </row>
    <row r="78">
      <c r="B78" s="93"/>
      <c r="C78" s="114"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D78" s="114"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88"/>
      <c r="F78" s="20"/>
      <c r="G78" s="159"/>
      <c r="H78" s="114" t="str">
        <f t="shared" si="1"/>
        <v/>
      </c>
      <c r="I78" s="20"/>
      <c r="J78" s="20"/>
    </row>
    <row r="79">
      <c r="B79" s="93"/>
      <c r="C79" s="114"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D79" s="114"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88"/>
      <c r="F79" s="20"/>
      <c r="G79" s="159"/>
      <c r="H79" s="114" t="str">
        <f t="shared" si="1"/>
        <v/>
      </c>
      <c r="I79" s="20"/>
      <c r="J79" s="20"/>
    </row>
    <row r="80">
      <c r="B80" s="93"/>
      <c r="C80" s="114"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D80" s="114"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88"/>
      <c r="F80" s="20"/>
      <c r="G80" s="159"/>
      <c r="H80" s="114" t="str">
        <f t="shared" si="1"/>
        <v/>
      </c>
      <c r="I80" s="20"/>
      <c r="J80" s="20"/>
    </row>
    <row r="81">
      <c r="B81" s="93"/>
      <c r="C81" s="114"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D81" s="114"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88"/>
      <c r="F81" s="20"/>
      <c r="G81" s="159"/>
      <c r="H81" s="114" t="str">
        <f t="shared" si="1"/>
        <v/>
      </c>
      <c r="I81" s="20"/>
      <c r="J81" s="20"/>
    </row>
    <row r="82">
      <c r="B82" s="93"/>
      <c r="C82" s="114"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D82" s="114"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88"/>
      <c r="F82" s="20"/>
      <c r="G82" s="159"/>
      <c r="H82" s="114" t="str">
        <f t="shared" si="1"/>
        <v/>
      </c>
      <c r="I82" s="20"/>
      <c r="J82" s="20"/>
    </row>
    <row r="83">
      <c r="B83" s="93"/>
      <c r="C83" s="114"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D83" s="114"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88"/>
      <c r="F83" s="20"/>
      <c r="G83" s="159"/>
      <c r="H83" s="114" t="str">
        <f t="shared" si="1"/>
        <v/>
      </c>
      <c r="I83" s="20"/>
      <c r="J83" s="20"/>
    </row>
    <row r="84">
      <c r="B84" s="93"/>
      <c r="C84" s="114"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D84" s="114"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88"/>
      <c r="F84" s="20"/>
      <c r="G84" s="159"/>
      <c r="H84" s="114" t="str">
        <f t="shared" si="1"/>
        <v/>
      </c>
      <c r="I84" s="20"/>
      <c r="J84" s="20"/>
    </row>
    <row r="85">
      <c r="B85" s="93"/>
      <c r="C85" s="114"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D85" s="114"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88"/>
      <c r="F85" s="20"/>
      <c r="G85" s="159"/>
      <c r="H85" s="114" t="str">
        <f t="shared" si="1"/>
        <v/>
      </c>
      <c r="I85" s="20"/>
      <c r="J85" s="20"/>
    </row>
    <row r="86">
      <c r="B86" s="93"/>
      <c r="C86" s="114"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D86" s="114"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88"/>
      <c r="F86" s="20"/>
      <c r="G86" s="159"/>
      <c r="H86" s="114" t="str">
        <f t="shared" si="1"/>
        <v/>
      </c>
      <c r="I86" s="20"/>
      <c r="J86" s="20"/>
    </row>
    <row r="87">
      <c r="B87" s="93"/>
      <c r="C87" s="114"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D87" s="114"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88"/>
      <c r="F87" s="20"/>
      <c r="G87" s="159"/>
      <c r="H87" s="114" t="str">
        <f t="shared" si="1"/>
        <v/>
      </c>
      <c r="I87" s="20"/>
      <c r="J87" s="20"/>
    </row>
    <row r="88">
      <c r="B88" s="93"/>
      <c r="C88" s="114"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D88" s="114"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88"/>
      <c r="F88" s="20"/>
      <c r="G88" s="159"/>
      <c r="H88" s="114" t="str">
        <f t="shared" si="1"/>
        <v/>
      </c>
      <c r="I88" s="20"/>
      <c r="J88" s="20"/>
    </row>
    <row r="89">
      <c r="B89" s="93"/>
      <c r="C89" s="114"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D89" s="114"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88"/>
      <c r="F89" s="20"/>
      <c r="G89" s="159"/>
      <c r="H89" s="114" t="str">
        <f t="shared" si="1"/>
        <v/>
      </c>
      <c r="I89" s="20"/>
      <c r="J89" s="20"/>
    </row>
    <row r="90">
      <c r="B90" s="93"/>
      <c r="C90" s="114"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D90" s="114"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88"/>
      <c r="F90" s="20"/>
      <c r="G90" s="159"/>
      <c r="H90" s="114" t="str">
        <f t="shared" si="1"/>
        <v/>
      </c>
      <c r="I90" s="20"/>
      <c r="J90" s="20"/>
    </row>
    <row r="91">
      <c r="B91" s="93"/>
      <c r="C91" s="114"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D91" s="114"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88"/>
      <c r="F91" s="20"/>
      <c r="G91" s="159"/>
      <c r="H91" s="114" t="str">
        <f t="shared" si="1"/>
        <v/>
      </c>
      <c r="I91" s="20"/>
      <c r="J91" s="20"/>
    </row>
    <row r="92">
      <c r="B92" s="93"/>
      <c r="C92" s="114"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D92" s="114"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88"/>
      <c r="F92" s="20"/>
      <c r="G92" s="159"/>
      <c r="H92" s="114" t="str">
        <f t="shared" si="1"/>
        <v/>
      </c>
      <c r="I92" s="20"/>
      <c r="J92" s="20"/>
    </row>
    <row r="93">
      <c r="B93" s="93"/>
      <c r="C93" s="114"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D93" s="114"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88"/>
      <c r="F93" s="20"/>
      <c r="G93" s="159"/>
      <c r="H93" s="114" t="str">
        <f t="shared" si="1"/>
        <v/>
      </c>
      <c r="I93" s="20"/>
      <c r="J93" s="20"/>
    </row>
    <row r="94">
      <c r="B94" s="93"/>
      <c r="C94" s="114"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D94" s="114"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88"/>
      <c r="F94" s="20"/>
      <c r="G94" s="159"/>
      <c r="H94" s="114" t="str">
        <f t="shared" si="1"/>
        <v/>
      </c>
      <c r="I94" s="20"/>
      <c r="J94" s="20"/>
    </row>
    <row r="95">
      <c r="B95" s="93"/>
      <c r="C95" s="114"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D95" s="114"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88"/>
      <c r="F95" s="20"/>
      <c r="G95" s="159"/>
      <c r="H95" s="114" t="str">
        <f t="shared" si="1"/>
        <v/>
      </c>
      <c r="I95" s="20"/>
      <c r="J95" s="20"/>
    </row>
    <row r="96">
      <c r="B96" s="93"/>
      <c r="C96" s="114"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14"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88"/>
      <c r="F96" s="20"/>
      <c r="G96" s="159"/>
      <c r="H96" s="114" t="str">
        <f t="shared" si="1"/>
        <v/>
      </c>
      <c r="I96" s="20"/>
      <c r="J96" s="20"/>
    </row>
    <row r="97">
      <c r="B97" s="93"/>
      <c r="C97" s="114"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14"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88"/>
      <c r="F97" s="20"/>
      <c r="G97" s="159"/>
      <c r="H97" s="114" t="str">
        <f t="shared" si="1"/>
        <v/>
      </c>
      <c r="I97" s="20"/>
      <c r="J97" s="20"/>
    </row>
    <row r="98">
      <c r="B98" s="93"/>
      <c r="C98" s="114"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14"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88"/>
      <c r="F98" s="20"/>
      <c r="G98" s="159"/>
      <c r="H98" s="114" t="str">
        <f t="shared" si="1"/>
        <v/>
      </c>
      <c r="I98" s="20"/>
      <c r="J98" s="20"/>
    </row>
    <row r="99">
      <c r="B99" s="93"/>
      <c r="C99" s="114"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14"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88"/>
      <c r="F99" s="20"/>
      <c r="G99" s="159"/>
      <c r="H99" s="114" t="str">
        <f t="shared" si="1"/>
        <v/>
      </c>
      <c r="I99" s="20"/>
      <c r="J99" s="20"/>
    </row>
    <row r="100">
      <c r="B100" s="93"/>
      <c r="C100" s="114"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14"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88"/>
      <c r="F100" s="20"/>
      <c r="G100" s="159"/>
      <c r="H100" s="114" t="str">
        <f t="shared" si="1"/>
        <v/>
      </c>
      <c r="I100" s="20"/>
      <c r="J100" s="20"/>
    </row>
    <row r="101">
      <c r="B101" s="93"/>
      <c r="C101" s="114"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14"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88"/>
      <c r="F101" s="20"/>
      <c r="G101" s="159"/>
      <c r="H101" s="114" t="str">
        <f t="shared" si="1"/>
        <v/>
      </c>
      <c r="I101" s="20"/>
      <c r="J101" s="20"/>
    </row>
    <row r="102">
      <c r="B102" s="93"/>
      <c r="C102" s="114"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14"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88"/>
      <c r="F102" s="20"/>
      <c r="G102" s="159"/>
      <c r="H102" s="114" t="str">
        <f t="shared" si="1"/>
        <v/>
      </c>
      <c r="I102" s="20"/>
      <c r="J102" s="20"/>
    </row>
    <row r="103">
      <c r="B103" s="93"/>
      <c r="C103" s="114"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14"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88"/>
      <c r="F103" s="20"/>
      <c r="G103" s="159"/>
      <c r="H103" s="114" t="str">
        <f t="shared" si="1"/>
        <v/>
      </c>
      <c r="I103" s="20"/>
      <c r="J103" s="20"/>
    </row>
    <row r="104">
      <c r="B104" s="93"/>
      <c r="C104" s="114"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14"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88"/>
      <c r="F104" s="20"/>
      <c r="G104" s="159"/>
      <c r="H104" s="114" t="str">
        <f t="shared" si="1"/>
        <v/>
      </c>
      <c r="I104" s="20"/>
      <c r="J104" s="20"/>
    </row>
    <row r="105">
      <c r="B105" s="93"/>
      <c r="C105" s="114"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14"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88"/>
      <c r="F105" s="20"/>
      <c r="G105" s="159"/>
      <c r="H105" s="114" t="str">
        <f t="shared" si="1"/>
        <v/>
      </c>
      <c r="I105" s="20"/>
      <c r="J105" s="20"/>
    </row>
    <row r="106">
      <c r="B106" s="93"/>
      <c r="C106" s="114"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14"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88"/>
      <c r="F106" s="20"/>
      <c r="G106" s="159"/>
      <c r="H106" s="114" t="str">
        <f t="shared" si="1"/>
        <v/>
      </c>
      <c r="I106" s="20"/>
      <c r="J106" s="20"/>
    </row>
    <row r="107">
      <c r="B107" s="93"/>
      <c r="C107" s="114"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14"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88"/>
      <c r="F107" s="20"/>
      <c r="G107" s="159"/>
      <c r="H107" s="114" t="str">
        <f t="shared" si="1"/>
        <v/>
      </c>
      <c r="I107" s="20"/>
      <c r="J107" s="20"/>
    </row>
    <row r="108">
      <c r="B108" s="93"/>
      <c r="C108" s="114"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14"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88"/>
      <c r="F108" s="20"/>
      <c r="G108" s="159"/>
      <c r="H108" s="114" t="str">
        <f t="shared" si="1"/>
        <v/>
      </c>
      <c r="I108" s="20"/>
      <c r="J108" s="20"/>
    </row>
    <row r="109">
      <c r="B109" s="93"/>
      <c r="C109" s="114"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14"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88"/>
      <c r="F109" s="20"/>
      <c r="G109" s="159"/>
      <c r="H109" s="114" t="str">
        <f t="shared" si="1"/>
        <v/>
      </c>
      <c r="I109" s="20"/>
      <c r="J109" s="20"/>
    </row>
    <row r="110">
      <c r="B110" s="93"/>
      <c r="C110" s="114"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14"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88"/>
      <c r="F110" s="20"/>
      <c r="G110" s="159"/>
      <c r="H110" s="114" t="str">
        <f t="shared" si="1"/>
        <v/>
      </c>
      <c r="I110" s="20"/>
      <c r="J110" s="20"/>
    </row>
    <row r="111">
      <c r="B111" s="93"/>
      <c r="C111" s="114"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14"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88"/>
      <c r="F111" s="20"/>
      <c r="G111" s="159"/>
      <c r="H111" s="114" t="str">
        <f t="shared" si="1"/>
        <v/>
      </c>
      <c r="I111" s="20"/>
      <c r="J111" s="20"/>
    </row>
    <row r="112">
      <c r="B112" s="93"/>
      <c r="C112" s="114"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14"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88"/>
      <c r="F112" s="20"/>
      <c r="G112" s="159"/>
      <c r="H112" s="114" t="str">
        <f t="shared" si="1"/>
        <v/>
      </c>
      <c r="I112" s="20"/>
      <c r="J112" s="20"/>
    </row>
    <row r="113">
      <c r="B113" s="93"/>
      <c r="C113" s="114"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14"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88"/>
      <c r="F113" s="20"/>
      <c r="G113" s="159"/>
      <c r="H113" s="114" t="str">
        <f t="shared" si="1"/>
        <v/>
      </c>
      <c r="I113" s="20"/>
      <c r="J113" s="20"/>
    </row>
    <row r="114">
      <c r="B114" s="93"/>
      <c r="C114" s="114"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14"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88"/>
      <c r="F114" s="20"/>
      <c r="G114" s="159"/>
      <c r="H114" s="114" t="str">
        <f t="shared" si="1"/>
        <v/>
      </c>
      <c r="I114" s="20"/>
      <c r="J114" s="20"/>
    </row>
    <row r="115">
      <c r="B115" s="93"/>
      <c r="C115" s="114"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14"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88"/>
      <c r="F115" s="20"/>
      <c r="G115" s="159"/>
      <c r="H115" s="114" t="str">
        <f t="shared" si="1"/>
        <v/>
      </c>
      <c r="I115" s="20"/>
      <c r="J115" s="20"/>
    </row>
    <row r="116">
      <c r="B116" s="93"/>
      <c r="C116" s="114"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14"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88"/>
      <c r="F116" s="20"/>
      <c r="G116" s="159"/>
      <c r="H116" s="114" t="str">
        <f t="shared" si="1"/>
        <v/>
      </c>
      <c r="I116" s="20"/>
      <c r="J116" s="20"/>
    </row>
    <row r="117">
      <c r="B117" s="93"/>
      <c r="C117" s="114"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14"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88"/>
      <c r="F117" s="20"/>
      <c r="G117" s="159"/>
      <c r="H117" s="114" t="str">
        <f t="shared" si="1"/>
        <v/>
      </c>
      <c r="I117" s="20"/>
      <c r="J117" s="20"/>
    </row>
    <row r="118">
      <c r="B118" s="93"/>
      <c r="C118" s="114"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14"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88"/>
      <c r="F118" s="20"/>
      <c r="G118" s="159"/>
      <c r="H118" s="114" t="str">
        <f t="shared" si="1"/>
        <v/>
      </c>
      <c r="I118" s="20"/>
      <c r="J118" s="20"/>
    </row>
    <row r="119">
      <c r="B119" s="93"/>
      <c r="C119" s="114"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14"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88"/>
      <c r="F119" s="20"/>
      <c r="G119" s="159"/>
      <c r="H119" s="114" t="str">
        <f t="shared" si="1"/>
        <v/>
      </c>
      <c r="I119" s="20"/>
      <c r="J119" s="20"/>
    </row>
    <row r="120">
      <c r="B120" s="93"/>
      <c r="C120" s="114"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14"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88"/>
      <c r="F120" s="20"/>
      <c r="G120" s="159"/>
      <c r="H120" s="114" t="str">
        <f t="shared" si="1"/>
        <v/>
      </c>
      <c r="I120" s="20"/>
      <c r="J120" s="20"/>
    </row>
    <row r="121">
      <c r="B121" s="93"/>
      <c r="C121" s="114"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14"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88"/>
      <c r="F121" s="20"/>
      <c r="G121" s="159"/>
      <c r="H121" s="114" t="str">
        <f t="shared" si="1"/>
        <v/>
      </c>
      <c r="I121" s="20"/>
      <c r="J121" s="20"/>
    </row>
    <row r="122">
      <c r="B122" s="93"/>
      <c r="C122" s="114"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14"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88"/>
      <c r="F122" s="20"/>
      <c r="G122" s="159"/>
      <c r="H122" s="114" t="str">
        <f t="shared" si="1"/>
        <v/>
      </c>
      <c r="I122" s="20"/>
      <c r="J122" s="20"/>
    </row>
    <row r="123">
      <c r="B123" s="93"/>
      <c r="C123" s="114"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14"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88"/>
      <c r="F123" s="20"/>
      <c r="G123" s="159"/>
      <c r="H123" s="114" t="str">
        <f t="shared" si="1"/>
        <v/>
      </c>
      <c r="I123" s="20"/>
      <c r="J123" s="20"/>
    </row>
    <row r="124">
      <c r="B124" s="93"/>
      <c r="C124" s="114"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14"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88"/>
      <c r="F124" s="20"/>
      <c r="G124" s="159"/>
      <c r="H124" s="114" t="str">
        <f t="shared" si="1"/>
        <v/>
      </c>
      <c r="I124" s="20"/>
      <c r="J124" s="20"/>
    </row>
    <row r="125">
      <c r="B125" s="93"/>
      <c r="C125" s="114"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14"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88"/>
      <c r="F125" s="20"/>
      <c r="G125" s="159"/>
      <c r="H125" s="114" t="str">
        <f t="shared" si="1"/>
        <v/>
      </c>
      <c r="I125" s="20"/>
      <c r="J125" s="20"/>
    </row>
    <row r="126">
      <c r="B126" s="93"/>
      <c r="C126" s="114"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14"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88"/>
      <c r="F126" s="20"/>
      <c r="G126" s="159"/>
      <c r="H126" s="114" t="str">
        <f t="shared" si="1"/>
        <v/>
      </c>
      <c r="I126" s="20"/>
      <c r="J126" s="20"/>
    </row>
    <row r="127">
      <c r="B127" s="93"/>
      <c r="C127" s="114"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14"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88"/>
      <c r="F127" s="20"/>
      <c r="G127" s="159"/>
      <c r="H127" s="114" t="str">
        <f t="shared" si="1"/>
        <v/>
      </c>
      <c r="I127" s="20"/>
      <c r="J127" s="20"/>
    </row>
    <row r="128">
      <c r="B128" s="93"/>
      <c r="C128" s="114"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14"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88"/>
      <c r="F128" s="20"/>
      <c r="G128" s="159"/>
      <c r="H128" s="114" t="str">
        <f t="shared" si="1"/>
        <v/>
      </c>
      <c r="I128" s="20"/>
      <c r="J128" s="20"/>
    </row>
    <row r="129">
      <c r="B129" s="93"/>
      <c r="C129" s="114"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14"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88"/>
      <c r="F129" s="20"/>
      <c r="G129" s="159"/>
      <c r="H129" s="114" t="str">
        <f t="shared" si="1"/>
        <v/>
      </c>
      <c r="I129" s="20"/>
      <c r="J129" s="20"/>
    </row>
    <row r="130">
      <c r="B130" s="93"/>
      <c r="C130" s="114"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14"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88"/>
      <c r="F130" s="20"/>
      <c r="G130" s="159"/>
      <c r="H130" s="114" t="str">
        <f t="shared" si="1"/>
        <v/>
      </c>
      <c r="I130" s="20"/>
      <c r="J130" s="20"/>
    </row>
    <row r="131">
      <c r="B131" s="93"/>
      <c r="C131" s="114"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14"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88"/>
      <c r="F131" s="20"/>
      <c r="G131" s="159"/>
      <c r="H131" s="114" t="str">
        <f t="shared" si="1"/>
        <v/>
      </c>
      <c r="I131" s="20"/>
      <c r="J131" s="20"/>
    </row>
    <row r="132">
      <c r="B132" s="93"/>
      <c r="C132" s="114"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14"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88"/>
      <c r="F132" s="20"/>
      <c r="G132" s="159"/>
      <c r="H132" s="114" t="str">
        <f t="shared" si="1"/>
        <v/>
      </c>
      <c r="I132" s="20"/>
      <c r="J132" s="20"/>
    </row>
    <row r="133">
      <c r="B133" s="93"/>
      <c r="C133" s="114"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14"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88"/>
      <c r="F133" s="20"/>
      <c r="G133" s="159"/>
      <c r="H133" s="114" t="str">
        <f t="shared" si="1"/>
        <v/>
      </c>
      <c r="I133" s="20"/>
      <c r="J133" s="20"/>
    </row>
    <row r="134">
      <c r="B134" s="93"/>
      <c r="C134" s="114"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14"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88"/>
      <c r="F134" s="20"/>
      <c r="G134" s="159"/>
      <c r="H134" s="114" t="str">
        <f t="shared" si="1"/>
        <v/>
      </c>
      <c r="I134" s="20"/>
      <c r="J134" s="20"/>
    </row>
    <row r="135">
      <c r="B135" s="93"/>
      <c r="C135" s="114"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14"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88"/>
      <c r="F135" s="20"/>
      <c r="G135" s="159"/>
      <c r="H135" s="114" t="str">
        <f t="shared" si="1"/>
        <v/>
      </c>
      <c r="I135" s="20"/>
      <c r="J135" s="20"/>
    </row>
    <row r="136">
      <c r="B136" s="93"/>
      <c r="C136" s="114"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14"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88"/>
      <c r="F136" s="20"/>
      <c r="G136" s="159"/>
      <c r="H136" s="114" t="str">
        <f t="shared" si="1"/>
        <v/>
      </c>
      <c r="I136" s="20"/>
      <c r="J136" s="20"/>
    </row>
    <row r="137">
      <c r="B137" s="93"/>
      <c r="C137" s="114"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14"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88"/>
      <c r="F137" s="20"/>
      <c r="G137" s="159"/>
      <c r="H137" s="114" t="str">
        <f t="shared" si="1"/>
        <v/>
      </c>
      <c r="I137" s="20"/>
      <c r="J137" s="20"/>
    </row>
    <row r="138">
      <c r="B138" s="93"/>
      <c r="C138" s="114"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14"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88"/>
      <c r="F138" s="20"/>
      <c r="G138" s="159"/>
      <c r="H138" s="114" t="str">
        <f t="shared" si="1"/>
        <v/>
      </c>
      <c r="I138" s="20"/>
      <c r="J138" s="20"/>
    </row>
    <row r="139">
      <c r="B139" s="93"/>
      <c r="C139" s="114"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14"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88"/>
      <c r="F139" s="20"/>
      <c r="G139" s="159"/>
      <c r="H139" s="114" t="str">
        <f t="shared" si="1"/>
        <v/>
      </c>
      <c r="I139" s="20"/>
      <c r="J139" s="20"/>
    </row>
    <row r="140">
      <c r="B140" s="93"/>
      <c r="C140" s="114"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14"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88"/>
      <c r="F140" s="20"/>
      <c r="G140" s="159"/>
      <c r="H140" s="114" t="str">
        <f t="shared" si="1"/>
        <v/>
      </c>
      <c r="I140" s="20"/>
      <c r="J140" s="20"/>
    </row>
    <row r="141">
      <c r="B141" s="93"/>
      <c r="C141" s="114"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14"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88"/>
      <c r="F141" s="20"/>
      <c r="G141" s="159"/>
      <c r="H141" s="114" t="str">
        <f t="shared" si="1"/>
        <v/>
      </c>
      <c r="I141" s="20"/>
      <c r="J141" s="20"/>
    </row>
    <row r="142">
      <c r="B142" s="93"/>
      <c r="C142" s="114"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14"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88"/>
      <c r="F142" s="20"/>
      <c r="G142" s="159"/>
      <c r="H142" s="114" t="str">
        <f t="shared" si="1"/>
        <v/>
      </c>
      <c r="I142" s="20"/>
      <c r="J142" s="20"/>
    </row>
    <row r="143">
      <c r="B143" s="93"/>
      <c r="C143" s="114"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14"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88"/>
      <c r="F143" s="20"/>
      <c r="G143" s="159"/>
      <c r="H143" s="114" t="str">
        <f t="shared" si="1"/>
        <v/>
      </c>
      <c r="I143" s="20"/>
      <c r="J143" s="20"/>
    </row>
    <row r="144">
      <c r="B144" s="93"/>
      <c r="C144" s="114"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14"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88"/>
      <c r="F144" s="20"/>
      <c r="G144" s="159"/>
      <c r="H144" s="114" t="str">
        <f t="shared" si="1"/>
        <v/>
      </c>
      <c r="I144" s="20"/>
      <c r="J144" s="20"/>
    </row>
    <row r="145">
      <c r="B145" s="93"/>
      <c r="C145" s="114"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14"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88"/>
      <c r="F145" s="20"/>
      <c r="G145" s="159"/>
      <c r="H145" s="114" t="str">
        <f t="shared" si="1"/>
        <v/>
      </c>
      <c r="I145" s="20"/>
      <c r="J145" s="20"/>
    </row>
    <row r="146">
      <c r="B146" s="93"/>
      <c r="C146" s="114"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14"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88"/>
      <c r="F146" s="20"/>
      <c r="G146" s="159"/>
      <c r="H146" s="114" t="str">
        <f t="shared" si="1"/>
        <v/>
      </c>
      <c r="I146" s="20"/>
      <c r="J146" s="20"/>
    </row>
    <row r="147">
      <c r="B147" s="93"/>
      <c r="C147" s="114"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14"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88"/>
      <c r="F147" s="20"/>
      <c r="G147" s="159"/>
      <c r="H147" s="114" t="str">
        <f t="shared" si="1"/>
        <v/>
      </c>
      <c r="I147" s="20"/>
      <c r="J147" s="20"/>
    </row>
    <row r="148">
      <c r="B148" s="93"/>
      <c r="C148" s="114"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14"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88"/>
      <c r="F148" s="20"/>
      <c r="G148" s="159"/>
      <c r="H148" s="114" t="str">
        <f t="shared" si="1"/>
        <v/>
      </c>
      <c r="I148" s="20"/>
      <c r="J148" s="20"/>
    </row>
    <row r="149">
      <c r="B149" s="93"/>
      <c r="C149" s="114"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14"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88"/>
      <c r="F149" s="20"/>
      <c r="G149" s="159"/>
      <c r="H149" s="114" t="str">
        <f t="shared" si="1"/>
        <v/>
      </c>
      <c r="I149" s="20"/>
      <c r="J149" s="20"/>
    </row>
    <row r="150">
      <c r="B150" s="93"/>
      <c r="C150" s="114"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14"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88"/>
      <c r="F150" s="20"/>
      <c r="G150" s="159"/>
      <c r="H150" s="114" t="str">
        <f t="shared" si="1"/>
        <v/>
      </c>
      <c r="I150" s="20"/>
      <c r="J150" s="20"/>
    </row>
    <row r="151">
      <c r="B151" s="93"/>
      <c r="C151" s="114"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14"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88"/>
      <c r="F151" s="20"/>
      <c r="G151" s="159"/>
      <c r="H151" s="114" t="str">
        <f t="shared" si="1"/>
        <v/>
      </c>
      <c r="I151" s="20"/>
      <c r="J151" s="20"/>
    </row>
    <row r="152">
      <c r="B152" s="93"/>
      <c r="C152" s="114"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14"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88"/>
      <c r="F152" s="20"/>
      <c r="G152" s="159"/>
      <c r="H152" s="114" t="str">
        <f t="shared" si="1"/>
        <v/>
      </c>
      <c r="I152" s="20"/>
      <c r="J152" s="20"/>
    </row>
    <row r="153">
      <c r="B153" s="93"/>
      <c r="C153" s="114"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14"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88"/>
      <c r="F153" s="20"/>
      <c r="G153" s="159"/>
      <c r="H153" s="114" t="str">
        <f t="shared" si="1"/>
        <v/>
      </c>
      <c r="I153" s="20"/>
      <c r="J153" s="20"/>
    </row>
    <row r="154">
      <c r="B154" s="93"/>
      <c r="C154" s="114"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14"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88"/>
      <c r="F154" s="20"/>
      <c r="G154" s="159"/>
      <c r="H154" s="114" t="str">
        <f t="shared" si="1"/>
        <v/>
      </c>
      <c r="I154" s="20"/>
      <c r="J154" s="20"/>
    </row>
    <row r="155">
      <c r="B155" s="93"/>
      <c r="C155" s="114"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14"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88"/>
      <c r="F155" s="20"/>
      <c r="G155" s="159"/>
      <c r="H155" s="114" t="str">
        <f t="shared" si="1"/>
        <v/>
      </c>
      <c r="I155" s="20"/>
      <c r="J155" s="20"/>
    </row>
    <row r="156">
      <c r="B156" s="93"/>
      <c r="C156" s="114"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14"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88"/>
      <c r="F156" s="20"/>
      <c r="G156" s="159"/>
      <c r="H156" s="114" t="str">
        <f t="shared" si="1"/>
        <v/>
      </c>
      <c r="I156" s="20"/>
      <c r="J156" s="20"/>
    </row>
    <row r="157">
      <c r="B157" s="93"/>
      <c r="C157" s="114"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14"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88"/>
      <c r="F157" s="20"/>
      <c r="G157" s="159"/>
      <c r="H157" s="114" t="str">
        <f t="shared" si="1"/>
        <v/>
      </c>
      <c r="I157" s="20"/>
      <c r="J157" s="20"/>
    </row>
    <row r="158">
      <c r="B158" s="93"/>
      <c r="C158" s="114"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14"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88"/>
      <c r="F158" s="20"/>
      <c r="G158" s="159"/>
      <c r="H158" s="114" t="str">
        <f t="shared" si="1"/>
        <v/>
      </c>
      <c r="I158" s="20"/>
      <c r="J158" s="20"/>
    </row>
    <row r="159">
      <c r="B159" s="93"/>
      <c r="C159" s="114"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14"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88"/>
      <c r="F159" s="20"/>
      <c r="G159" s="159"/>
      <c r="H159" s="114" t="str">
        <f t="shared" si="1"/>
        <v/>
      </c>
      <c r="I159" s="20"/>
      <c r="J159" s="20"/>
    </row>
    <row r="160">
      <c r="B160" s="93"/>
      <c r="C160" s="114"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14"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88"/>
      <c r="F160" s="20"/>
      <c r="G160" s="159"/>
      <c r="H160" s="114" t="str">
        <f t="shared" si="1"/>
        <v/>
      </c>
      <c r="I160" s="20"/>
      <c r="J160" s="20"/>
    </row>
    <row r="161">
      <c r="B161" s="93"/>
      <c r="C161" s="114"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14"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88"/>
      <c r="F161" s="20"/>
      <c r="G161" s="159"/>
      <c r="H161" s="114" t="str">
        <f t="shared" si="1"/>
        <v/>
      </c>
      <c r="I161" s="20"/>
      <c r="J161" s="20"/>
    </row>
    <row r="162">
      <c r="B162" s="93"/>
      <c r="C162" s="114"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14"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88"/>
      <c r="F162" s="20"/>
      <c r="G162" s="159"/>
      <c r="H162" s="114" t="str">
        <f t="shared" si="1"/>
        <v/>
      </c>
      <c r="I162" s="20"/>
      <c r="J162" s="20"/>
    </row>
    <row r="163">
      <c r="B163" s="93"/>
      <c r="C163" s="114"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14"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88"/>
      <c r="F163" s="20"/>
      <c r="G163" s="159"/>
      <c r="H163" s="114" t="str">
        <f t="shared" si="1"/>
        <v/>
      </c>
      <c r="I163" s="20"/>
      <c r="J163" s="20"/>
    </row>
    <row r="164">
      <c r="B164" s="93"/>
      <c r="C164" s="114"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14"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88"/>
      <c r="F164" s="20"/>
      <c r="G164" s="159"/>
      <c r="H164" s="114" t="str">
        <f t="shared" si="1"/>
        <v/>
      </c>
      <c r="I164" s="20"/>
      <c r="J164" s="20"/>
    </row>
    <row r="165">
      <c r="B165" s="93"/>
      <c r="C165" s="114"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14"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88"/>
      <c r="F165" s="20"/>
      <c r="G165" s="159"/>
      <c r="H165" s="114" t="str">
        <f t="shared" si="1"/>
        <v/>
      </c>
      <c r="I165" s="20"/>
      <c r="J165" s="20"/>
    </row>
    <row r="166">
      <c r="B166" s="93"/>
      <c r="C166" s="114"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14"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88"/>
      <c r="F166" s="20"/>
      <c r="G166" s="159"/>
      <c r="H166" s="114" t="str">
        <f t="shared" si="1"/>
        <v/>
      </c>
      <c r="I166" s="20"/>
      <c r="J166" s="20"/>
    </row>
    <row r="167">
      <c r="B167" s="93"/>
      <c r="C167" s="114"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14"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88"/>
      <c r="F167" s="20"/>
      <c r="G167" s="159"/>
      <c r="H167" s="114" t="str">
        <f t="shared" si="1"/>
        <v/>
      </c>
      <c r="I167" s="20"/>
      <c r="J167" s="20"/>
    </row>
    <row r="168">
      <c r="B168" s="93"/>
      <c r="C168" s="114"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14"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88"/>
      <c r="F168" s="20"/>
      <c r="G168" s="159"/>
      <c r="H168" s="114" t="str">
        <f t="shared" si="1"/>
        <v/>
      </c>
      <c r="I168" s="20"/>
      <c r="J168" s="20"/>
    </row>
    <row r="169">
      <c r="B169" s="93"/>
      <c r="C169" s="114"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14"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88"/>
      <c r="F169" s="20"/>
      <c r="G169" s="159"/>
      <c r="H169" s="114" t="str">
        <f t="shared" si="1"/>
        <v/>
      </c>
      <c r="I169" s="20"/>
      <c r="J169" s="20"/>
    </row>
    <row r="170">
      <c r="B170" s="93"/>
      <c r="C170" s="114"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14"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88"/>
      <c r="F170" s="20"/>
      <c r="G170" s="159"/>
      <c r="H170" s="114" t="str">
        <f t="shared" si="1"/>
        <v/>
      </c>
      <c r="I170" s="20"/>
      <c r="J170" s="20"/>
    </row>
    <row r="171">
      <c r="B171" s="93"/>
      <c r="C171" s="114"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14"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88"/>
      <c r="F171" s="20"/>
      <c r="G171" s="159"/>
      <c r="H171" s="114" t="str">
        <f t="shared" si="1"/>
        <v/>
      </c>
      <c r="I171" s="20"/>
      <c r="J171" s="20"/>
    </row>
    <row r="172">
      <c r="B172" s="93"/>
      <c r="C172" s="114"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14"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88"/>
      <c r="F172" s="20"/>
      <c r="G172" s="159"/>
      <c r="H172" s="114" t="str">
        <f t="shared" si="1"/>
        <v/>
      </c>
      <c r="I172" s="20"/>
      <c r="J172" s="20"/>
    </row>
    <row r="173">
      <c r="B173" s="93"/>
      <c r="C173" s="114"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14"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88"/>
      <c r="F173" s="20"/>
      <c r="G173" s="159"/>
      <c r="H173" s="114" t="str">
        <f t="shared" si="1"/>
        <v/>
      </c>
      <c r="I173" s="20"/>
      <c r="J173" s="20"/>
    </row>
    <row r="174">
      <c r="B174" s="93"/>
      <c r="C174" s="114"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14"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88"/>
      <c r="F174" s="20"/>
      <c r="G174" s="159"/>
      <c r="H174" s="114" t="str">
        <f t="shared" si="1"/>
        <v/>
      </c>
      <c r="I174" s="20"/>
      <c r="J174" s="20"/>
    </row>
    <row r="175">
      <c r="B175" s="93"/>
      <c r="C175" s="114"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14"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88"/>
      <c r="F175" s="20"/>
      <c r="G175" s="159"/>
      <c r="H175" s="114" t="str">
        <f t="shared" si="1"/>
        <v/>
      </c>
      <c r="I175" s="20"/>
      <c r="J175" s="20"/>
    </row>
    <row r="176">
      <c r="B176" s="93"/>
      <c r="C176" s="114"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14"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88"/>
      <c r="F176" s="20"/>
      <c r="G176" s="159"/>
      <c r="H176" s="114" t="str">
        <f t="shared" si="1"/>
        <v/>
      </c>
      <c r="I176" s="20"/>
      <c r="J176" s="20"/>
    </row>
    <row r="177">
      <c r="B177" s="93"/>
      <c r="C177" s="114"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14"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88"/>
      <c r="F177" s="20"/>
      <c r="G177" s="159"/>
      <c r="H177" s="114" t="str">
        <f t="shared" si="1"/>
        <v/>
      </c>
      <c r="I177" s="20"/>
      <c r="J177" s="20"/>
    </row>
    <row r="178">
      <c r="B178" s="93"/>
      <c r="C178" s="114"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14"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88"/>
      <c r="F178" s="20"/>
      <c r="G178" s="159"/>
      <c r="H178" s="114" t="str">
        <f t="shared" si="1"/>
        <v/>
      </c>
      <c r="I178" s="20"/>
      <c r="J178" s="20"/>
    </row>
    <row r="179">
      <c r="B179" s="93"/>
      <c r="C179" s="114"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14"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88"/>
      <c r="F179" s="20"/>
      <c r="G179" s="159"/>
      <c r="H179" s="114" t="str">
        <f t="shared" si="1"/>
        <v/>
      </c>
      <c r="I179" s="20"/>
      <c r="J179" s="20"/>
    </row>
    <row r="180">
      <c r="B180" s="93"/>
      <c r="C180" s="114"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14"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88"/>
      <c r="F180" s="20"/>
      <c r="G180" s="159"/>
      <c r="H180" s="114" t="str">
        <f t="shared" si="1"/>
        <v/>
      </c>
      <c r="I180" s="20"/>
      <c r="J180" s="20"/>
    </row>
    <row r="181">
      <c r="B181" s="93"/>
      <c r="C181" s="114"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14"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88"/>
      <c r="F181" s="20"/>
      <c r="G181" s="159"/>
      <c r="H181" s="114" t="str">
        <f t="shared" si="1"/>
        <v/>
      </c>
      <c r="I181" s="20"/>
      <c r="J181" s="20"/>
    </row>
    <row r="182">
      <c r="B182" s="93"/>
      <c r="C182" s="114"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14"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88"/>
      <c r="F182" s="20"/>
      <c r="G182" s="159"/>
      <c r="H182" s="114" t="str">
        <f t="shared" si="1"/>
        <v/>
      </c>
      <c r="I182" s="20"/>
      <c r="J182" s="20"/>
    </row>
    <row r="183">
      <c r="B183" s="93"/>
      <c r="C183" s="114"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14"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88"/>
      <c r="F183" s="20"/>
      <c r="G183" s="159"/>
      <c r="H183" s="114" t="str">
        <f t="shared" si="1"/>
        <v/>
      </c>
      <c r="I183" s="20"/>
      <c r="J183" s="20"/>
    </row>
    <row r="184">
      <c r="B184" s="93"/>
      <c r="C184" s="114"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14"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88"/>
      <c r="F184" s="20"/>
      <c r="G184" s="159"/>
      <c r="H184" s="114" t="str">
        <f t="shared" si="1"/>
        <v/>
      </c>
      <c r="I184" s="20"/>
      <c r="J184" s="20"/>
    </row>
    <row r="185">
      <c r="B185" s="93"/>
      <c r="C185" s="114"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14"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88"/>
      <c r="F185" s="20"/>
      <c r="G185" s="159"/>
      <c r="H185" s="114" t="str">
        <f t="shared" si="1"/>
        <v/>
      </c>
      <c r="I185" s="20"/>
      <c r="J185" s="20"/>
    </row>
    <row r="186">
      <c r="B186" s="93"/>
      <c r="C186" s="114"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14"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88"/>
      <c r="F186" s="20"/>
      <c r="G186" s="159"/>
      <c r="H186" s="114" t="str">
        <f t="shared" si="1"/>
        <v/>
      </c>
      <c r="I186" s="20"/>
      <c r="J186" s="20"/>
    </row>
    <row r="187">
      <c r="B187" s="93"/>
      <c r="C187" s="114"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14"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88"/>
      <c r="F187" s="20"/>
      <c r="G187" s="159"/>
      <c r="H187" s="114" t="str">
        <f t="shared" si="1"/>
        <v/>
      </c>
      <c r="I187" s="20"/>
      <c r="J187" s="20"/>
    </row>
    <row r="188">
      <c r="B188" s="93"/>
      <c r="C188" s="114"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14"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88"/>
      <c r="F188" s="20"/>
      <c r="G188" s="159"/>
      <c r="H188" s="114" t="str">
        <f t="shared" si="1"/>
        <v/>
      </c>
      <c r="I188" s="20"/>
      <c r="J188" s="20"/>
    </row>
    <row r="189">
      <c r="B189" s="93"/>
      <c r="C189" s="114"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14"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88"/>
      <c r="F189" s="20"/>
      <c r="G189" s="159"/>
      <c r="H189" s="114" t="str">
        <f t="shared" si="1"/>
        <v/>
      </c>
      <c r="I189" s="20"/>
      <c r="J189" s="20"/>
    </row>
    <row r="190">
      <c r="B190" s="93"/>
      <c r="C190" s="114"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14"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88"/>
      <c r="F190" s="20"/>
      <c r="G190" s="159"/>
      <c r="H190" s="114" t="str">
        <f t="shared" si="1"/>
        <v/>
      </c>
      <c r="I190" s="20"/>
      <c r="J190" s="20"/>
    </row>
    <row r="191">
      <c r="B191" s="93"/>
      <c r="C191" s="114"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14"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88"/>
      <c r="F191" s="20"/>
      <c r="G191" s="159"/>
      <c r="H191" s="114" t="str">
        <f t="shared" si="1"/>
        <v/>
      </c>
      <c r="I191" s="20"/>
      <c r="J191" s="20"/>
    </row>
    <row r="192">
      <c r="B192" s="93"/>
      <c r="C192" s="114"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14"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88"/>
      <c r="F192" s="20"/>
      <c r="G192" s="159"/>
      <c r="H192" s="114" t="str">
        <f t="shared" si="1"/>
        <v/>
      </c>
      <c r="I192" s="20"/>
      <c r="J192" s="20"/>
    </row>
    <row r="193">
      <c r="B193" s="93"/>
      <c r="C193" s="114"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14"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88"/>
      <c r="F193" s="20"/>
      <c r="G193" s="159"/>
      <c r="H193" s="114" t="str">
        <f t="shared" si="1"/>
        <v/>
      </c>
      <c r="I193" s="20"/>
      <c r="J193" s="20"/>
    </row>
    <row r="194">
      <c r="B194" s="93"/>
      <c r="C194" s="114"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14"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88"/>
      <c r="F194" s="20"/>
      <c r="G194" s="159"/>
      <c r="H194" s="114" t="str">
        <f t="shared" si="1"/>
        <v/>
      </c>
      <c r="I194" s="20"/>
      <c r="J194" s="20"/>
    </row>
    <row r="195">
      <c r="B195" s="93"/>
      <c r="C195" s="114"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14"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88"/>
      <c r="F195" s="20"/>
      <c r="G195" s="159"/>
      <c r="H195" s="114" t="str">
        <f t="shared" si="1"/>
        <v/>
      </c>
      <c r="I195" s="20"/>
      <c r="J195" s="20"/>
    </row>
    <row r="196">
      <c r="B196" s="93"/>
      <c r="C196" s="114"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14"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88"/>
      <c r="F196" s="20"/>
      <c r="G196" s="159"/>
      <c r="H196" s="114" t="str">
        <f t="shared" si="1"/>
        <v/>
      </c>
      <c r="I196" s="20"/>
      <c r="J196" s="20"/>
    </row>
    <row r="197">
      <c r="B197" s="93"/>
      <c r="C197" s="114"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14"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88"/>
      <c r="F197" s="20"/>
      <c r="G197" s="159"/>
      <c r="H197" s="114" t="str">
        <f t="shared" si="1"/>
        <v/>
      </c>
      <c r="I197" s="20"/>
      <c r="J197" s="20"/>
    </row>
    <row r="198">
      <c r="B198" s="93"/>
      <c r="C198" s="114"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14"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88"/>
      <c r="F198" s="20"/>
      <c r="G198" s="159"/>
      <c r="H198" s="114" t="str">
        <f t="shared" si="1"/>
        <v/>
      </c>
      <c r="I198" s="20"/>
      <c r="J198" s="20"/>
    </row>
    <row r="199">
      <c r="B199" s="93"/>
      <c r="C199" s="114"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14"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88"/>
      <c r="F199" s="20"/>
      <c r="G199" s="159"/>
      <c r="H199" s="114" t="str">
        <f t="shared" si="1"/>
        <v/>
      </c>
      <c r="I199" s="20"/>
      <c r="J199" s="20"/>
    </row>
    <row r="200">
      <c r="B200" s="93"/>
      <c r="C200" s="114"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14"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88"/>
      <c r="F200" s="20"/>
      <c r="G200" s="159"/>
      <c r="H200" s="114" t="str">
        <f t="shared" si="1"/>
        <v/>
      </c>
      <c r="I200" s="20"/>
      <c r="J200" s="20"/>
    </row>
    <row r="201">
      <c r="B201" s="93"/>
      <c r="C201" s="114"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14"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88"/>
      <c r="F201" s="20"/>
      <c r="G201" s="159"/>
      <c r="H201" s="114" t="str">
        <f t="shared" si="1"/>
        <v/>
      </c>
      <c r="I201" s="20"/>
      <c r="J201" s="20"/>
    </row>
    <row r="202">
      <c r="B202" s="93"/>
      <c r="C202" s="114"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14"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88"/>
      <c r="F202" s="20"/>
      <c r="G202" s="159"/>
      <c r="H202" s="114" t="str">
        <f t="shared" si="1"/>
        <v/>
      </c>
      <c r="I202" s="20"/>
      <c r="J202" s="20"/>
    </row>
    <row r="203">
      <c r="B203" s="93"/>
      <c r="C203" s="114"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14"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88"/>
      <c r="F203" s="20"/>
      <c r="G203" s="159"/>
      <c r="H203" s="114" t="str">
        <f t="shared" si="1"/>
        <v/>
      </c>
      <c r="I203" s="20"/>
      <c r="J203" s="20"/>
    </row>
    <row r="204">
      <c r="B204" s="93"/>
      <c r="C204" s="114"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14"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88"/>
      <c r="F204" s="20"/>
      <c r="G204" s="159"/>
      <c r="H204" s="114" t="str">
        <f t="shared" si="1"/>
        <v/>
      </c>
      <c r="I204" s="20"/>
      <c r="J204" s="20"/>
    </row>
    <row r="205">
      <c r="B205" s="93"/>
      <c r="C205" s="114"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14"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88"/>
      <c r="F205" s="20"/>
      <c r="G205" s="159"/>
      <c r="H205" s="114" t="str">
        <f t="shared" si="1"/>
        <v/>
      </c>
      <c r="I205" s="20"/>
      <c r="J205" s="20"/>
    </row>
    <row r="206">
      <c r="B206" s="93"/>
      <c r="C206" s="114"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14"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88"/>
      <c r="F206" s="20"/>
      <c r="G206" s="159"/>
      <c r="H206" s="114" t="str">
        <f t="shared" si="1"/>
        <v/>
      </c>
      <c r="I206" s="20"/>
      <c r="J206" s="20"/>
    </row>
    <row r="207">
      <c r="B207" s="93"/>
      <c r="C207" s="114"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14"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88"/>
      <c r="F207" s="20"/>
      <c r="G207" s="159"/>
      <c r="H207" s="114" t="str">
        <f t="shared" si="1"/>
        <v/>
      </c>
      <c r="I207" s="20"/>
      <c r="J207" s="20"/>
    </row>
    <row r="208">
      <c r="B208" s="93"/>
      <c r="C208" s="114"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14"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88"/>
      <c r="F208" s="20"/>
      <c r="G208" s="159"/>
      <c r="H208" s="114" t="str">
        <f t="shared" si="1"/>
        <v/>
      </c>
      <c r="I208" s="20"/>
      <c r="J208" s="20"/>
    </row>
    <row r="209">
      <c r="B209" s="93"/>
      <c r="C209" s="114"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14"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88"/>
      <c r="F209" s="20"/>
      <c r="G209" s="159"/>
      <c r="H209" s="114" t="str">
        <f t="shared" si="1"/>
        <v/>
      </c>
      <c r="I209" s="20"/>
      <c r="J209" s="20"/>
    </row>
    <row r="210">
      <c r="B210" s="93"/>
      <c r="C210" s="114"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14"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88"/>
      <c r="F210" s="20"/>
      <c r="G210" s="159"/>
      <c r="H210" s="114" t="str">
        <f t="shared" si="1"/>
        <v/>
      </c>
      <c r="I210" s="20"/>
      <c r="J210" s="20"/>
    </row>
    <row r="211">
      <c r="B211" s="93"/>
      <c r="C211" s="114"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14"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88"/>
      <c r="F211" s="20"/>
      <c r="G211" s="159"/>
      <c r="H211" s="114" t="str">
        <f t="shared" si="1"/>
        <v/>
      </c>
      <c r="I211" s="20"/>
      <c r="J211" s="20"/>
    </row>
    <row r="212">
      <c r="B212" s="93"/>
      <c r="C212" s="114"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14"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88"/>
      <c r="F212" s="20"/>
      <c r="G212" s="159"/>
      <c r="H212" s="114" t="str">
        <f t="shared" si="1"/>
        <v/>
      </c>
      <c r="I212" s="20"/>
      <c r="J212" s="20"/>
    </row>
    <row r="213">
      <c r="B213" s="93"/>
      <c r="C213" s="114"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14"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88"/>
      <c r="F213" s="20"/>
      <c r="G213" s="159"/>
      <c r="H213" s="114" t="str">
        <f t="shared" si="1"/>
        <v/>
      </c>
      <c r="I213" s="20"/>
      <c r="J213" s="20"/>
    </row>
    <row r="214">
      <c r="B214" s="93"/>
      <c r="C214" s="114"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14"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88"/>
      <c r="F214" s="20"/>
      <c r="G214" s="159"/>
      <c r="H214" s="114" t="str">
        <f t="shared" si="1"/>
        <v/>
      </c>
      <c r="I214" s="20"/>
      <c r="J214" s="20"/>
    </row>
    <row r="215">
      <c r="B215" s="93"/>
      <c r="C215" s="114"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14"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88"/>
      <c r="F215" s="20"/>
      <c r="G215" s="159"/>
      <c r="H215" s="114" t="str">
        <f t="shared" si="1"/>
        <v/>
      </c>
      <c r="I215" s="20"/>
      <c r="J215" s="20"/>
    </row>
    <row r="216">
      <c r="B216" s="93"/>
      <c r="C216" s="114"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14"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88"/>
      <c r="F216" s="20"/>
      <c r="G216" s="159"/>
      <c r="H216" s="114" t="str">
        <f t="shared" si="1"/>
        <v/>
      </c>
      <c r="I216" s="20"/>
      <c r="J216" s="20"/>
    </row>
    <row r="217">
      <c r="B217" s="93"/>
      <c r="C217" s="114"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14"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88"/>
      <c r="F217" s="20"/>
      <c r="G217" s="159"/>
      <c r="H217" s="114" t="str">
        <f t="shared" si="1"/>
        <v/>
      </c>
      <c r="I217" s="20"/>
      <c r="J217" s="20"/>
    </row>
    <row r="218">
      <c r="B218" s="93"/>
      <c r="C218" s="114"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14"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88"/>
      <c r="F218" s="20"/>
      <c r="G218" s="159"/>
      <c r="H218" s="114" t="str">
        <f t="shared" si="1"/>
        <v/>
      </c>
      <c r="I218" s="20"/>
      <c r="J218" s="20"/>
    </row>
    <row r="219">
      <c r="B219" s="93"/>
      <c r="C219" s="114"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14"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88"/>
      <c r="F219" s="20"/>
      <c r="G219" s="159"/>
      <c r="H219" s="114" t="str">
        <f t="shared" si="1"/>
        <v/>
      </c>
      <c r="I219" s="20"/>
      <c r="J219" s="20"/>
    </row>
    <row r="220">
      <c r="B220" s="93"/>
      <c r="C220" s="114"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14"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88"/>
      <c r="F220" s="20"/>
      <c r="G220" s="159"/>
      <c r="H220" s="114" t="str">
        <f t="shared" si="1"/>
        <v/>
      </c>
      <c r="I220" s="20"/>
      <c r="J220" s="20"/>
    </row>
    <row r="221">
      <c r="B221" s="93"/>
      <c r="C221" s="114"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14"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88"/>
      <c r="F221" s="20"/>
      <c r="G221" s="159"/>
      <c r="H221" s="114" t="str">
        <f t="shared" si="1"/>
        <v/>
      </c>
      <c r="I221" s="20"/>
      <c r="J221" s="20"/>
    </row>
    <row r="222">
      <c r="B222" s="93"/>
      <c r="C222" s="114"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14"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88"/>
      <c r="F222" s="20"/>
      <c r="G222" s="159"/>
      <c r="H222" s="114" t="str">
        <f t="shared" si="1"/>
        <v/>
      </c>
      <c r="I222" s="20"/>
      <c r="J222" s="20"/>
    </row>
    <row r="223">
      <c r="B223" s="93"/>
      <c r="C223" s="114"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14"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88"/>
      <c r="F223" s="20"/>
      <c r="G223" s="159"/>
      <c r="H223" s="114" t="str">
        <f t="shared" si="1"/>
        <v/>
      </c>
      <c r="I223" s="20"/>
      <c r="J223" s="20"/>
    </row>
    <row r="224">
      <c r="B224" s="93"/>
      <c r="C224" s="114"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14"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88"/>
      <c r="F224" s="20"/>
      <c r="G224" s="159"/>
      <c r="H224" s="114" t="str">
        <f t="shared" si="1"/>
        <v/>
      </c>
      <c r="I224" s="20"/>
      <c r="J224" s="20"/>
    </row>
    <row r="225">
      <c r="B225" s="93"/>
      <c r="C225" s="114"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14"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88"/>
      <c r="F225" s="20"/>
      <c r="G225" s="159"/>
      <c r="H225" s="114" t="str">
        <f t="shared" si="1"/>
        <v/>
      </c>
      <c r="I225" s="20"/>
      <c r="J225" s="20"/>
    </row>
    <row r="226">
      <c r="B226" s="93"/>
      <c r="C226" s="114"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14"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88"/>
      <c r="F226" s="20"/>
      <c r="G226" s="159"/>
      <c r="H226" s="114" t="str">
        <f t="shared" si="1"/>
        <v/>
      </c>
      <c r="I226" s="20"/>
      <c r="J226" s="20"/>
    </row>
    <row r="227">
      <c r="B227" s="93"/>
      <c r="C227" s="114"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14"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88"/>
      <c r="F227" s="20"/>
      <c r="G227" s="159"/>
      <c r="H227" s="114" t="str">
        <f t="shared" si="1"/>
        <v/>
      </c>
      <c r="I227" s="20"/>
      <c r="J227" s="20"/>
    </row>
    <row r="228">
      <c r="B228" s="93"/>
      <c r="C228" s="114"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14"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88"/>
      <c r="F228" s="20"/>
      <c r="G228" s="159"/>
      <c r="H228" s="114" t="str">
        <f t="shared" si="1"/>
        <v/>
      </c>
      <c r="I228" s="20"/>
      <c r="J228" s="20"/>
    </row>
    <row r="229">
      <c r="B229" s="93"/>
      <c r="C229" s="114"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14"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88"/>
      <c r="F229" s="20"/>
      <c r="G229" s="159"/>
      <c r="H229" s="114" t="str">
        <f t="shared" si="1"/>
        <v/>
      </c>
      <c r="I229" s="20"/>
      <c r="J229" s="20"/>
    </row>
    <row r="230">
      <c r="B230" s="93"/>
      <c r="C230" s="114"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14"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88"/>
      <c r="F230" s="20"/>
      <c r="G230" s="159"/>
      <c r="H230" s="114" t="str">
        <f t="shared" si="1"/>
        <v/>
      </c>
      <c r="I230" s="20"/>
      <c r="J230" s="20"/>
    </row>
    <row r="231">
      <c r="B231" s="93"/>
      <c r="C231" s="114"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14"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88"/>
      <c r="F231" s="20"/>
      <c r="G231" s="159"/>
      <c r="H231" s="114" t="str">
        <f t="shared" si="1"/>
        <v/>
      </c>
      <c r="I231" s="20"/>
      <c r="J231" s="20"/>
    </row>
    <row r="232">
      <c r="B232" s="93"/>
      <c r="C232" s="114"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14"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88"/>
      <c r="F232" s="20"/>
      <c r="G232" s="159"/>
      <c r="H232" s="114" t="str">
        <f t="shared" si="1"/>
        <v/>
      </c>
      <c r="I232" s="20"/>
      <c r="J232" s="20"/>
    </row>
    <row r="233">
      <c r="B233" s="93"/>
      <c r="C233" s="114"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14"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88"/>
      <c r="F233" s="20"/>
      <c r="G233" s="159"/>
      <c r="H233" s="114" t="str">
        <f t="shared" si="1"/>
        <v/>
      </c>
      <c r="I233" s="20"/>
      <c r="J233" s="20"/>
    </row>
    <row r="234">
      <c r="B234" s="93"/>
      <c r="C234" s="114"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14"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88"/>
      <c r="F234" s="20"/>
      <c r="G234" s="159"/>
      <c r="H234" s="114" t="str">
        <f t="shared" si="1"/>
        <v/>
      </c>
      <c r="I234" s="20"/>
      <c r="J234" s="20"/>
    </row>
    <row r="235">
      <c r="B235" s="93"/>
      <c r="C235" s="114"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14"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88"/>
      <c r="F235" s="20"/>
      <c r="G235" s="159"/>
      <c r="H235" s="114" t="str">
        <f t="shared" si="1"/>
        <v/>
      </c>
      <c r="I235" s="20"/>
      <c r="J235" s="20"/>
    </row>
    <row r="236">
      <c r="B236" s="93"/>
      <c r="C236" s="114"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14"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88"/>
      <c r="F236" s="20"/>
      <c r="G236" s="159"/>
      <c r="H236" s="114" t="str">
        <f t="shared" si="1"/>
        <v/>
      </c>
      <c r="I236" s="20"/>
      <c r="J236" s="20"/>
    </row>
    <row r="237">
      <c r="B237" s="93"/>
      <c r="C237" s="114"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14"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88"/>
      <c r="F237" s="20"/>
      <c r="G237" s="159"/>
      <c r="H237" s="114" t="str">
        <f t="shared" si="1"/>
        <v/>
      </c>
      <c r="I237" s="20"/>
      <c r="J237" s="20"/>
    </row>
    <row r="238">
      <c r="B238" s="93"/>
      <c r="C238" s="114"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14"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88"/>
      <c r="F238" s="20"/>
      <c r="G238" s="159"/>
      <c r="H238" s="114" t="str">
        <f t="shared" si="1"/>
        <v/>
      </c>
      <c r="I238" s="20"/>
      <c r="J238" s="20"/>
    </row>
    <row r="239">
      <c r="B239" s="93"/>
      <c r="C239" s="114"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14"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88"/>
      <c r="F239" s="20"/>
      <c r="G239" s="159"/>
      <c r="H239" s="114" t="str">
        <f t="shared" si="1"/>
        <v/>
      </c>
      <c r="I239" s="20"/>
      <c r="J239" s="20"/>
    </row>
    <row r="240">
      <c r="B240" s="93"/>
      <c r="C240" s="114"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14"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88"/>
      <c r="F240" s="20"/>
      <c r="G240" s="159"/>
      <c r="H240" s="114" t="str">
        <f t="shared" si="1"/>
        <v/>
      </c>
      <c r="I240" s="20"/>
      <c r="J240" s="20"/>
    </row>
    <row r="241">
      <c r="B241" s="93"/>
      <c r="C241" s="114"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14"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88"/>
      <c r="F241" s="20"/>
      <c r="G241" s="159"/>
      <c r="H241" s="114" t="str">
        <f t="shared" si="1"/>
        <v/>
      </c>
      <c r="I241" s="20"/>
      <c r="J241" s="20"/>
    </row>
    <row r="242">
      <c r="B242" s="93"/>
      <c r="C242" s="114"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14"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88"/>
      <c r="F242" s="20"/>
      <c r="G242" s="159"/>
      <c r="H242" s="114" t="str">
        <f t="shared" si="1"/>
        <v/>
      </c>
      <c r="I242" s="20"/>
      <c r="J242" s="20"/>
    </row>
    <row r="243">
      <c r="B243" s="93"/>
      <c r="C243" s="114"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14"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88"/>
      <c r="F243" s="20"/>
      <c r="G243" s="159"/>
      <c r="H243" s="114" t="str">
        <f t="shared" si="1"/>
        <v/>
      </c>
      <c r="I243" s="20"/>
      <c r="J243" s="20"/>
    </row>
    <row r="244">
      <c r="B244" s="93"/>
      <c r="C244" s="114"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14"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88"/>
      <c r="F244" s="20"/>
      <c r="G244" s="159"/>
      <c r="H244" s="114" t="str">
        <f t="shared" si="1"/>
        <v/>
      </c>
      <c r="I244" s="20"/>
      <c r="J244" s="20"/>
    </row>
    <row r="245">
      <c r="B245" s="93"/>
      <c r="C245" s="114"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14"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88"/>
      <c r="F245" s="20"/>
      <c r="G245" s="159"/>
      <c r="H245" s="114" t="str">
        <f t="shared" si="1"/>
        <v/>
      </c>
      <c r="I245" s="20"/>
      <c r="J245" s="20"/>
    </row>
    <row r="246">
      <c r="B246" s="93"/>
      <c r="C246" s="114"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14"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88"/>
      <c r="F246" s="20"/>
      <c r="G246" s="159"/>
      <c r="H246" s="114" t="str">
        <f t="shared" si="1"/>
        <v/>
      </c>
      <c r="I246" s="20"/>
      <c r="J246" s="20"/>
    </row>
    <row r="247">
      <c r="B247" s="93"/>
      <c r="C247" s="114"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14"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88"/>
      <c r="F247" s="20"/>
      <c r="G247" s="159"/>
      <c r="H247" s="114" t="str">
        <f t="shared" si="1"/>
        <v/>
      </c>
      <c r="I247" s="20"/>
      <c r="J247" s="20"/>
    </row>
    <row r="248">
      <c r="B248" s="93"/>
      <c r="C248" s="114"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14"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88"/>
      <c r="F248" s="20"/>
      <c r="G248" s="159"/>
      <c r="H248" s="114" t="str">
        <f t="shared" si="1"/>
        <v/>
      </c>
      <c r="I248" s="20"/>
      <c r="J248" s="20"/>
    </row>
    <row r="249">
      <c r="B249" s="93"/>
      <c r="C249" s="114"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14"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88"/>
      <c r="F249" s="20"/>
      <c r="G249" s="159"/>
      <c r="H249" s="114" t="str">
        <f t="shared" si="1"/>
        <v/>
      </c>
      <c r="I249" s="20"/>
      <c r="J249" s="20"/>
    </row>
    <row r="250">
      <c r="B250" s="93"/>
      <c r="C250" s="114"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14"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88"/>
      <c r="F250" s="20"/>
      <c r="G250" s="159"/>
      <c r="H250" s="114" t="str">
        <f t="shared" si="1"/>
        <v/>
      </c>
      <c r="I250" s="20"/>
      <c r="J250" s="20"/>
    </row>
    <row r="251">
      <c r="B251" s="93"/>
      <c r="C251" s="114"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14"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88"/>
      <c r="F251" s="20"/>
      <c r="G251" s="159"/>
      <c r="H251" s="114" t="str">
        <f t="shared" si="1"/>
        <v/>
      </c>
      <c r="I251" s="20"/>
      <c r="J251" s="20"/>
    </row>
    <row r="252">
      <c r="B252" s="93"/>
      <c r="C252" s="114"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14"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88"/>
      <c r="F252" s="20"/>
      <c r="G252" s="159"/>
      <c r="H252" s="114" t="str">
        <f t="shared" si="1"/>
        <v/>
      </c>
      <c r="I252" s="20"/>
      <c r="J252" s="20"/>
    </row>
    <row r="253">
      <c r="B253" s="93"/>
      <c r="C253" s="114"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14"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88"/>
      <c r="F253" s="20"/>
      <c r="G253" s="159"/>
      <c r="H253" s="114" t="str">
        <f t="shared" si="1"/>
        <v/>
      </c>
      <c r="I253" s="20"/>
      <c r="J253" s="20"/>
    </row>
    <row r="254">
      <c r="B254" s="93"/>
      <c r="C254" s="114"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14"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88"/>
      <c r="F254" s="20"/>
      <c r="G254" s="159"/>
      <c r="H254" s="114" t="str">
        <f t="shared" si="1"/>
        <v/>
      </c>
      <c r="I254" s="20"/>
      <c r="J254" s="20"/>
    </row>
    <row r="255">
      <c r="B255" s="93"/>
      <c r="C255" s="114"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14"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88"/>
      <c r="F255" s="20"/>
      <c r="G255" s="159"/>
      <c r="H255" s="114" t="str">
        <f t="shared" si="1"/>
        <v/>
      </c>
      <c r="I255" s="20"/>
      <c r="J255" s="20"/>
    </row>
    <row r="256">
      <c r="B256" s="93"/>
      <c r="C256" s="114"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14"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88"/>
      <c r="F256" s="20"/>
      <c r="G256" s="159"/>
      <c r="H256" s="114" t="str">
        <f t="shared" si="1"/>
        <v/>
      </c>
      <c r="I256" s="20"/>
      <c r="J256" s="20"/>
    </row>
    <row r="257">
      <c r="B257" s="93"/>
      <c r="C257" s="114"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14"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88"/>
      <c r="F257" s="20"/>
      <c r="G257" s="159"/>
      <c r="H257" s="114" t="str">
        <f t="shared" si="1"/>
        <v/>
      </c>
      <c r="I257" s="20"/>
      <c r="J257" s="20"/>
    </row>
    <row r="258">
      <c r="B258" s="93"/>
      <c r="C258" s="114"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14"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88"/>
      <c r="F258" s="20"/>
      <c r="G258" s="159"/>
      <c r="H258" s="114" t="str">
        <f t="shared" si="1"/>
        <v/>
      </c>
      <c r="I258" s="20"/>
      <c r="J258" s="20"/>
    </row>
    <row r="259">
      <c r="B259" s="93"/>
      <c r="C259" s="114"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14"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88"/>
      <c r="F259" s="20"/>
      <c r="G259" s="159"/>
      <c r="H259" s="114" t="str">
        <f t="shared" si="1"/>
        <v/>
      </c>
      <c r="I259" s="20"/>
      <c r="J259" s="20"/>
    </row>
    <row r="260">
      <c r="B260" s="93"/>
      <c r="C260" s="114"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14"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88"/>
      <c r="F260" s="20"/>
      <c r="G260" s="159"/>
      <c r="H260" s="114" t="str">
        <f t="shared" si="1"/>
        <v/>
      </c>
      <c r="I260" s="20"/>
      <c r="J260" s="20"/>
    </row>
    <row r="261">
      <c r="B261" s="93"/>
      <c r="C261" s="114"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14"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88"/>
      <c r="F261" s="20"/>
      <c r="G261" s="159"/>
      <c r="H261" s="114" t="str">
        <f t="shared" si="1"/>
        <v/>
      </c>
      <c r="I261" s="20"/>
      <c r="J261" s="20"/>
    </row>
    <row r="262">
      <c r="B262" s="93"/>
      <c r="C262" s="114"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14"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88"/>
      <c r="F262" s="20"/>
      <c r="G262" s="159"/>
      <c r="H262" s="114" t="str">
        <f t="shared" si="1"/>
        <v/>
      </c>
      <c r="I262" s="20"/>
      <c r="J262" s="20"/>
    </row>
    <row r="263">
      <c r="B263" s="93"/>
      <c r="C263" s="114"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14"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88"/>
      <c r="F263" s="20"/>
      <c r="G263" s="159"/>
      <c r="H263" s="114" t="str">
        <f t="shared" si="1"/>
        <v/>
      </c>
      <c r="I263" s="20"/>
      <c r="J263" s="20"/>
    </row>
    <row r="264">
      <c r="B264" s="93"/>
      <c r="C264" s="114"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14"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88"/>
      <c r="F264" s="20"/>
      <c r="G264" s="159"/>
      <c r="H264" s="114" t="str">
        <f t="shared" si="1"/>
        <v/>
      </c>
      <c r="I264" s="20"/>
      <c r="J264" s="20"/>
    </row>
    <row r="265">
      <c r="B265" s="93"/>
      <c r="C265" s="114"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14"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88"/>
      <c r="F265" s="20"/>
      <c r="G265" s="159"/>
      <c r="H265" s="114" t="str">
        <f t="shared" si="1"/>
        <v/>
      </c>
      <c r="I265" s="20"/>
      <c r="J265" s="20"/>
    </row>
    <row r="266">
      <c r="B266" s="93"/>
      <c r="C266" s="114"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14"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88"/>
      <c r="F266" s="20"/>
      <c r="G266" s="159"/>
      <c r="H266" s="114" t="str">
        <f t="shared" si="1"/>
        <v/>
      </c>
      <c r="I266" s="20"/>
      <c r="J266" s="20"/>
    </row>
    <row r="267">
      <c r="B267" s="93"/>
      <c r="C267" s="114"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14"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88"/>
      <c r="F267" s="20"/>
      <c r="G267" s="159"/>
      <c r="H267" s="114" t="str">
        <f t="shared" si="1"/>
        <v/>
      </c>
      <c r="I267" s="20"/>
      <c r="J267" s="20"/>
    </row>
    <row r="268">
      <c r="B268" s="93"/>
      <c r="C268" s="114"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14"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88"/>
      <c r="F268" s="20"/>
      <c r="G268" s="159"/>
      <c r="H268" s="114" t="str">
        <f t="shared" si="1"/>
        <v/>
      </c>
      <c r="I268" s="20"/>
      <c r="J268" s="20"/>
    </row>
    <row r="269">
      <c r="B269" s="93"/>
      <c r="C269" s="114"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14"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88"/>
      <c r="F269" s="20"/>
      <c r="G269" s="159"/>
      <c r="H269" s="114" t="str">
        <f t="shared" si="1"/>
        <v/>
      </c>
      <c r="I269" s="20"/>
      <c r="J269" s="20"/>
    </row>
    <row r="270">
      <c r="B270" s="93"/>
      <c r="C270" s="114"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14"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88"/>
      <c r="F270" s="20"/>
      <c r="G270" s="159"/>
      <c r="H270" s="114" t="str">
        <f t="shared" si="1"/>
        <v/>
      </c>
      <c r="I270" s="20"/>
      <c r="J270" s="20"/>
    </row>
    <row r="271">
      <c r="B271" s="93"/>
      <c r="C271" s="114"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14"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88"/>
      <c r="F271" s="20"/>
      <c r="G271" s="159"/>
      <c r="H271" s="114" t="str">
        <f t="shared" si="1"/>
        <v/>
      </c>
      <c r="I271" s="20"/>
      <c r="J271" s="20"/>
    </row>
    <row r="272">
      <c r="B272" s="93"/>
      <c r="C272" s="114"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14"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88"/>
      <c r="F272" s="20"/>
      <c r="G272" s="159"/>
      <c r="H272" s="114" t="str">
        <f t="shared" si="1"/>
        <v/>
      </c>
      <c r="I272" s="20"/>
      <c r="J272" s="20"/>
    </row>
    <row r="273">
      <c r="B273" s="93"/>
      <c r="C273" s="114"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14"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88"/>
      <c r="F273" s="20"/>
      <c r="G273" s="159"/>
      <c r="H273" s="114" t="str">
        <f t="shared" si="1"/>
        <v/>
      </c>
      <c r="I273" s="20"/>
      <c r="J273" s="20"/>
    </row>
    <row r="274">
      <c r="B274" s="93"/>
      <c r="C274" s="114"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14"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88"/>
      <c r="F274" s="20"/>
      <c r="G274" s="159"/>
      <c r="H274" s="114" t="str">
        <f t="shared" si="1"/>
        <v/>
      </c>
      <c r="I274" s="20"/>
      <c r="J274" s="20"/>
    </row>
    <row r="275">
      <c r="B275" s="93"/>
      <c r="C275" s="114"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14"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88"/>
      <c r="F275" s="20"/>
      <c r="G275" s="159"/>
      <c r="H275" s="114" t="str">
        <f t="shared" si="1"/>
        <v/>
      </c>
      <c r="I275" s="20"/>
      <c r="J275" s="20"/>
    </row>
    <row r="276">
      <c r="B276" s="93"/>
      <c r="C276" s="114"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14"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88"/>
      <c r="F276" s="20"/>
      <c r="G276" s="159"/>
      <c r="H276" s="114" t="str">
        <f t="shared" si="1"/>
        <v/>
      </c>
      <c r="I276" s="20"/>
      <c r="J276" s="20"/>
    </row>
    <row r="277">
      <c r="B277" s="93"/>
      <c r="C277" s="114"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14"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88"/>
      <c r="F277" s="20"/>
      <c r="G277" s="159"/>
      <c r="H277" s="114" t="str">
        <f t="shared" si="1"/>
        <v/>
      </c>
      <c r="I277" s="20"/>
      <c r="J277" s="20"/>
    </row>
    <row r="278">
      <c r="B278" s="93"/>
      <c r="C278" s="114"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14"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88"/>
      <c r="F278" s="20"/>
      <c r="G278" s="159"/>
      <c r="H278" s="114" t="str">
        <f t="shared" si="1"/>
        <v/>
      </c>
      <c r="I278" s="20"/>
      <c r="J278" s="20"/>
    </row>
    <row r="279">
      <c r="B279" s="93"/>
      <c r="C279" s="114"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14"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88"/>
      <c r="F279" s="20"/>
      <c r="G279" s="159"/>
      <c r="H279" s="114" t="str">
        <f t="shared" si="1"/>
        <v/>
      </c>
      <c r="I279" s="20"/>
      <c r="J279" s="20"/>
    </row>
    <row r="280">
      <c r="B280" s="93"/>
      <c r="C280" s="114"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14"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88"/>
      <c r="F280" s="20"/>
      <c r="G280" s="159"/>
      <c r="H280" s="114" t="str">
        <f t="shared" si="1"/>
        <v/>
      </c>
      <c r="I280" s="20"/>
      <c r="J280" s="20"/>
    </row>
    <row r="281">
      <c r="B281" s="93"/>
      <c r="C281" s="114"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14"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88"/>
      <c r="F281" s="20"/>
      <c r="G281" s="159"/>
      <c r="H281" s="114" t="str">
        <f t="shared" si="1"/>
        <v/>
      </c>
      <c r="I281" s="20"/>
      <c r="J281" s="20"/>
    </row>
    <row r="282">
      <c r="B282" s="93"/>
      <c r="C282" s="114"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14"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88"/>
      <c r="F282" s="20"/>
      <c r="G282" s="159"/>
      <c r="H282" s="114" t="str">
        <f t="shared" si="1"/>
        <v/>
      </c>
      <c r="I282" s="20"/>
      <c r="J282" s="20"/>
    </row>
    <row r="283">
      <c r="B283" s="93"/>
      <c r="C283" s="114"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14"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88"/>
      <c r="F283" s="20"/>
      <c r="G283" s="159"/>
      <c r="H283" s="114" t="str">
        <f t="shared" si="1"/>
        <v/>
      </c>
      <c r="I283" s="20"/>
      <c r="J283" s="20"/>
    </row>
    <row r="284">
      <c r="B284" s="93"/>
      <c r="C284" s="114"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14"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88"/>
      <c r="F284" s="20"/>
      <c r="G284" s="159"/>
      <c r="H284" s="114" t="str">
        <f t="shared" si="1"/>
        <v/>
      </c>
      <c r="I284" s="20"/>
      <c r="J284" s="20"/>
    </row>
    <row r="285">
      <c r="B285" s="93"/>
      <c r="C285" s="114"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14"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88"/>
      <c r="F285" s="20"/>
      <c r="G285" s="159"/>
      <c r="H285" s="114" t="str">
        <f t="shared" si="1"/>
        <v/>
      </c>
      <c r="I285" s="20"/>
      <c r="J285" s="20"/>
    </row>
    <row r="286">
      <c r="B286" s="93"/>
      <c r="C286" s="114"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14"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88"/>
      <c r="F286" s="20"/>
      <c r="G286" s="159"/>
      <c r="H286" s="114" t="str">
        <f t="shared" si="1"/>
        <v/>
      </c>
      <c r="I286" s="20"/>
      <c r="J286" s="20"/>
    </row>
    <row r="287">
      <c r="B287" s="93"/>
      <c r="C287" s="114"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14"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88"/>
      <c r="F287" s="20"/>
      <c r="G287" s="159"/>
      <c r="H287" s="114" t="str">
        <f t="shared" si="1"/>
        <v/>
      </c>
      <c r="I287" s="20"/>
      <c r="J287" s="20"/>
    </row>
    <row r="288">
      <c r="B288" s="93"/>
      <c r="C288" s="114"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14"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88"/>
      <c r="F288" s="20"/>
      <c r="G288" s="159"/>
      <c r="H288" s="114" t="str">
        <f t="shared" si="1"/>
        <v/>
      </c>
      <c r="I288" s="20"/>
      <c r="J288" s="20"/>
    </row>
    <row r="289">
      <c r="B289" s="93"/>
      <c r="C289" s="114"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14"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88"/>
      <c r="F289" s="20"/>
      <c r="G289" s="159"/>
      <c r="H289" s="114" t="str">
        <f t="shared" si="1"/>
        <v/>
      </c>
      <c r="I289" s="20"/>
      <c r="J289" s="20"/>
    </row>
    <row r="290">
      <c r="B290" s="93"/>
      <c r="C290" s="114"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14"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88"/>
      <c r="F290" s="20"/>
      <c r="G290" s="159"/>
      <c r="H290" s="114" t="str">
        <f t="shared" si="1"/>
        <v/>
      </c>
      <c r="I290" s="20"/>
      <c r="J290" s="20"/>
    </row>
    <row r="291">
      <c r="B291" s="93"/>
      <c r="C291" s="114"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14"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88"/>
      <c r="F291" s="20"/>
      <c r="G291" s="159"/>
      <c r="H291" s="114" t="str">
        <f t="shared" si="1"/>
        <v/>
      </c>
      <c r="I291" s="20"/>
      <c r="J291" s="20"/>
    </row>
    <row r="292">
      <c r="B292" s="93"/>
      <c r="C292" s="114"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14"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88"/>
      <c r="F292" s="20"/>
      <c r="G292" s="159"/>
      <c r="H292" s="114" t="str">
        <f t="shared" si="1"/>
        <v/>
      </c>
      <c r="I292" s="20"/>
      <c r="J292" s="20"/>
    </row>
    <row r="293">
      <c r="B293" s="93"/>
      <c r="C293" s="114"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14"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88"/>
      <c r="F293" s="20"/>
      <c r="G293" s="159"/>
      <c r="H293" s="114" t="str">
        <f t="shared" si="1"/>
        <v/>
      </c>
      <c r="I293" s="20"/>
      <c r="J293" s="20"/>
    </row>
    <row r="294">
      <c r="B294" s="93"/>
      <c r="C294" s="114"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14"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88"/>
      <c r="F294" s="20"/>
      <c r="G294" s="159"/>
      <c r="H294" s="114" t="str">
        <f t="shared" si="1"/>
        <v/>
      </c>
      <c r="I294" s="20"/>
      <c r="J294" s="20"/>
    </row>
    <row r="295">
      <c r="B295" s="93"/>
      <c r="C295" s="114"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14"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88"/>
      <c r="F295" s="20"/>
      <c r="G295" s="159"/>
      <c r="H295" s="114" t="str">
        <f t="shared" si="1"/>
        <v/>
      </c>
      <c r="I295" s="20"/>
      <c r="J295" s="20"/>
    </row>
    <row r="296">
      <c r="B296" s="93"/>
      <c r="C296" s="114"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14"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88"/>
      <c r="F296" s="20"/>
      <c r="G296" s="159"/>
      <c r="H296" s="114" t="str">
        <f t="shared" si="1"/>
        <v/>
      </c>
      <c r="I296" s="20"/>
      <c r="J296" s="20"/>
    </row>
    <row r="297">
      <c r="B297" s="93"/>
      <c r="C297" s="114"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14"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88"/>
      <c r="F297" s="20"/>
      <c r="G297" s="159"/>
      <c r="H297" s="114" t="str">
        <f t="shared" si="1"/>
        <v/>
      </c>
      <c r="I297" s="20"/>
      <c r="J297" s="20"/>
    </row>
    <row r="298">
      <c r="B298" s="93"/>
      <c r="C298" s="114"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14"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88"/>
      <c r="F298" s="20"/>
      <c r="G298" s="159"/>
      <c r="H298" s="114" t="str">
        <f t="shared" si="1"/>
        <v/>
      </c>
      <c r="I298" s="20"/>
      <c r="J298" s="20"/>
    </row>
    <row r="299">
      <c r="B299" s="93"/>
      <c r="C299" s="114"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14"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88"/>
      <c r="F299" s="20"/>
      <c r="G299" s="159"/>
      <c r="H299" s="114" t="str">
        <f t="shared" si="1"/>
        <v/>
      </c>
      <c r="I299" s="20"/>
      <c r="J299" s="20"/>
    </row>
    <row r="300">
      <c r="B300" s="93"/>
      <c r="C300" s="114"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14"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88"/>
      <c r="F300" s="20"/>
      <c r="G300" s="159"/>
      <c r="H300" s="114" t="str">
        <f t="shared" si="1"/>
        <v/>
      </c>
      <c r="I300" s="20"/>
      <c r="J300" s="20"/>
    </row>
    <row r="301">
      <c r="B301" s="93"/>
      <c r="C301" s="114"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14"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88"/>
      <c r="F301" s="20"/>
      <c r="G301" s="159"/>
      <c r="H301" s="114" t="str">
        <f t="shared" si="1"/>
        <v/>
      </c>
      <c r="I301" s="20"/>
      <c r="J301" s="20"/>
    </row>
    <row r="302">
      <c r="B302" s="93"/>
      <c r="C302" s="114"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14"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88"/>
      <c r="F302" s="20"/>
      <c r="G302" s="159"/>
      <c r="H302" s="114" t="str">
        <f t="shared" si="1"/>
        <v/>
      </c>
      <c r="I302" s="20"/>
      <c r="J302" s="20"/>
    </row>
    <row r="303">
      <c r="B303" s="93"/>
      <c r="C303" s="114"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14"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88"/>
      <c r="F303" s="20"/>
      <c r="G303" s="159"/>
      <c r="H303" s="114" t="str">
        <f t="shared" si="1"/>
        <v/>
      </c>
      <c r="I303" s="20"/>
      <c r="J303" s="20"/>
    </row>
    <row r="304">
      <c r="B304" s="93"/>
      <c r="C304" s="114"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14"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88"/>
      <c r="F304" s="20"/>
      <c r="G304" s="159"/>
      <c r="H304" s="114" t="str">
        <f t="shared" si="1"/>
        <v/>
      </c>
      <c r="I304" s="20"/>
      <c r="J304" s="20"/>
    </row>
    <row r="305">
      <c r="B305" s="93"/>
      <c r="C305" s="114"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14"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88"/>
      <c r="F305" s="20"/>
      <c r="G305" s="159"/>
      <c r="H305" s="114" t="str">
        <f t="shared" si="1"/>
        <v/>
      </c>
      <c r="I305" s="20"/>
      <c r="J305" s="20"/>
    </row>
    <row r="306">
      <c r="B306" s="93"/>
      <c r="C306" s="114"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14"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88"/>
      <c r="F306" s="20"/>
      <c r="G306" s="159"/>
      <c r="H306" s="114" t="str">
        <f t="shared" si="1"/>
        <v/>
      </c>
      <c r="I306" s="20"/>
      <c r="J306" s="20"/>
    </row>
    <row r="307">
      <c r="B307" s="93"/>
      <c r="C307" s="114"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14"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88"/>
      <c r="F307" s="20"/>
      <c r="G307" s="159"/>
      <c r="H307" s="114" t="str">
        <f t="shared" si="1"/>
        <v/>
      </c>
      <c r="I307" s="20"/>
      <c r="J307" s="20"/>
    </row>
    <row r="308">
      <c r="B308" s="93"/>
      <c r="C308" s="114"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14"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88"/>
      <c r="F308" s="20"/>
      <c r="G308" s="159"/>
      <c r="H308" s="114" t="str">
        <f t="shared" si="1"/>
        <v/>
      </c>
      <c r="I308" s="20"/>
      <c r="J308" s="20"/>
    </row>
    <row r="309">
      <c r="B309" s="93"/>
      <c r="C309" s="114"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14"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88"/>
      <c r="F309" s="20"/>
      <c r="G309" s="159"/>
      <c r="H309" s="114" t="str">
        <f t="shared" si="1"/>
        <v/>
      </c>
      <c r="I309" s="20"/>
      <c r="J309" s="20"/>
    </row>
    <row r="310">
      <c r="B310" s="93"/>
      <c r="C310" s="114"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14"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88"/>
      <c r="F310" s="20"/>
      <c r="G310" s="159"/>
      <c r="H310" s="114" t="str">
        <f t="shared" si="1"/>
        <v/>
      </c>
      <c r="I310" s="20"/>
      <c r="J310" s="20"/>
    </row>
    <row r="311">
      <c r="B311" s="93"/>
      <c r="C311" s="114"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14"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88"/>
      <c r="F311" s="20"/>
      <c r="G311" s="159"/>
      <c r="H311" s="114" t="str">
        <f t="shared" si="1"/>
        <v/>
      </c>
      <c r="I311" s="20"/>
      <c r="J311" s="20"/>
    </row>
    <row r="312">
      <c r="B312" s="93"/>
      <c r="C312" s="114"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14"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88"/>
      <c r="F312" s="20"/>
      <c r="G312" s="159"/>
      <c r="H312" s="114" t="str">
        <f t="shared" si="1"/>
        <v/>
      </c>
      <c r="I312" s="20"/>
      <c r="J312" s="20"/>
    </row>
    <row r="313">
      <c r="B313" s="93"/>
      <c r="C313" s="114"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14"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88"/>
      <c r="F313" s="20"/>
      <c r="G313" s="159"/>
      <c r="H313" s="114" t="str">
        <f t="shared" si="1"/>
        <v/>
      </c>
      <c r="I313" s="20"/>
      <c r="J313" s="20"/>
    </row>
    <row r="314">
      <c r="B314" s="93"/>
      <c r="C314" s="114"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14"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88"/>
      <c r="F314" s="20"/>
      <c r="G314" s="159"/>
      <c r="H314" s="114" t="str">
        <f t="shared" si="1"/>
        <v/>
      </c>
      <c r="I314" s="20"/>
      <c r="J314" s="20"/>
    </row>
    <row r="315">
      <c r="B315" s="93"/>
      <c r="C315" s="114"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14"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88"/>
      <c r="F315" s="20"/>
      <c r="G315" s="159"/>
      <c r="H315" s="114" t="str">
        <f t="shared" si="1"/>
        <v/>
      </c>
      <c r="I315" s="20"/>
      <c r="J315" s="20"/>
    </row>
    <row r="316">
      <c r="B316" s="93"/>
      <c r="C316" s="114"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14"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88"/>
      <c r="F316" s="20"/>
      <c r="G316" s="159"/>
      <c r="H316" s="114" t="str">
        <f t="shared" si="1"/>
        <v/>
      </c>
      <c r="I316" s="20"/>
      <c r="J316" s="20"/>
    </row>
    <row r="317">
      <c r="B317" s="93"/>
      <c r="C317" s="114"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14"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88"/>
      <c r="F317" s="20"/>
      <c r="G317" s="159"/>
      <c r="H317" s="114" t="str">
        <f t="shared" si="1"/>
        <v/>
      </c>
      <c r="I317" s="20"/>
      <c r="J317" s="20"/>
    </row>
    <row r="318">
      <c r="B318" s="93"/>
      <c r="C318" s="114"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14"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88"/>
      <c r="F318" s="20"/>
      <c r="G318" s="159"/>
      <c r="H318" s="114" t="str">
        <f t="shared" si="1"/>
        <v/>
      </c>
      <c r="I318" s="20"/>
      <c r="J318" s="20"/>
    </row>
    <row r="319">
      <c r="B319" s="93"/>
      <c r="C319" s="114"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14"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88"/>
      <c r="F319" s="20"/>
      <c r="G319" s="159"/>
      <c r="H319" s="114" t="str">
        <f t="shared" si="1"/>
        <v/>
      </c>
      <c r="I319" s="20"/>
      <c r="J319" s="20"/>
    </row>
    <row r="320">
      <c r="B320" s="93"/>
      <c r="C320" s="114"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14"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88"/>
      <c r="F320" s="20"/>
      <c r="G320" s="159"/>
      <c r="H320" s="114" t="str">
        <f t="shared" si="1"/>
        <v/>
      </c>
      <c r="I320" s="20"/>
      <c r="J320" s="20"/>
    </row>
    <row r="321">
      <c r="B321" s="93"/>
      <c r="C321" s="114"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14"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88"/>
      <c r="F321" s="20"/>
      <c r="G321" s="159"/>
      <c r="H321" s="114" t="str">
        <f t="shared" si="1"/>
        <v/>
      </c>
      <c r="I321" s="20"/>
      <c r="J321" s="20"/>
    </row>
    <row r="322">
      <c r="B322" s="93"/>
      <c r="C322" s="114"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14"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88"/>
      <c r="F322" s="20"/>
      <c r="G322" s="159"/>
      <c r="H322" s="114" t="str">
        <f t="shared" si="1"/>
        <v/>
      </c>
      <c r="I322" s="20"/>
      <c r="J322" s="20"/>
    </row>
    <row r="323">
      <c r="B323" s="93"/>
      <c r="C323" s="114"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14"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88"/>
      <c r="F323" s="20"/>
      <c r="G323" s="159"/>
      <c r="H323" s="114" t="str">
        <f t="shared" si="1"/>
        <v/>
      </c>
      <c r="I323" s="20"/>
      <c r="J323" s="20"/>
    </row>
    <row r="324">
      <c r="B324" s="93"/>
      <c r="C324" s="114"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14"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88"/>
      <c r="F324" s="20"/>
      <c r="G324" s="159"/>
      <c r="H324" s="114" t="str">
        <f t="shared" si="1"/>
        <v/>
      </c>
      <c r="I324" s="20"/>
      <c r="J324" s="20"/>
    </row>
    <row r="325">
      <c r="B325" s="93"/>
      <c r="C325" s="114"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14"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88"/>
      <c r="F325" s="20"/>
      <c r="G325" s="159"/>
      <c r="H325" s="114" t="str">
        <f t="shared" si="1"/>
        <v/>
      </c>
      <c r="I325" s="20"/>
      <c r="J325" s="20"/>
    </row>
    <row r="326">
      <c r="B326" s="93"/>
      <c r="C326" s="114"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14"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88"/>
      <c r="F326" s="20"/>
      <c r="G326" s="159"/>
      <c r="H326" s="114" t="str">
        <f t="shared" si="1"/>
        <v/>
      </c>
      <c r="I326" s="20"/>
      <c r="J326" s="20"/>
    </row>
    <row r="327">
      <c r="B327" s="93"/>
      <c r="C327" s="114"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14"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88"/>
      <c r="F327" s="20"/>
      <c r="G327" s="159"/>
      <c r="H327" s="114" t="str">
        <f t="shared" si="1"/>
        <v/>
      </c>
      <c r="I327" s="20"/>
      <c r="J327" s="20"/>
    </row>
    <row r="328">
      <c r="B328" s="93"/>
      <c r="C328" s="114"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14"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88"/>
      <c r="F328" s="20"/>
      <c r="G328" s="159"/>
      <c r="H328" s="114" t="str">
        <f t="shared" si="1"/>
        <v/>
      </c>
      <c r="I328" s="20"/>
      <c r="J328" s="20"/>
    </row>
    <row r="329">
      <c r="B329" s="93"/>
      <c r="C329" s="114"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14"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88"/>
      <c r="F329" s="20"/>
      <c r="G329" s="159"/>
      <c r="H329" s="114" t="str">
        <f t="shared" si="1"/>
        <v/>
      </c>
      <c r="I329" s="20"/>
      <c r="J329" s="20"/>
    </row>
    <row r="330">
      <c r="B330" s="93"/>
      <c r="C330" s="114"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14"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88"/>
      <c r="F330" s="20"/>
      <c r="G330" s="159"/>
      <c r="H330" s="114" t="str">
        <f t="shared" si="1"/>
        <v/>
      </c>
      <c r="I330" s="20"/>
      <c r="J330" s="20"/>
    </row>
    <row r="331">
      <c r="B331" s="93"/>
      <c r="C331" s="114"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14"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88"/>
      <c r="F331" s="20"/>
      <c r="G331" s="159"/>
      <c r="H331" s="114" t="str">
        <f t="shared" si="1"/>
        <v/>
      </c>
      <c r="I331" s="20"/>
      <c r="J331" s="20"/>
    </row>
    <row r="332">
      <c r="B332" s="93"/>
      <c r="C332" s="114"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14"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88"/>
      <c r="F332" s="20"/>
      <c r="G332" s="159"/>
      <c r="H332" s="114" t="str">
        <f t="shared" si="1"/>
        <v/>
      </c>
      <c r="I332" s="20"/>
      <c r="J332" s="20"/>
    </row>
    <row r="333">
      <c r="B333" s="93"/>
      <c r="C333" s="114"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14"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88"/>
      <c r="F333" s="20"/>
      <c r="G333" s="159"/>
      <c r="H333" s="114" t="str">
        <f t="shared" si="1"/>
        <v/>
      </c>
      <c r="I333" s="20"/>
      <c r="J333" s="20"/>
    </row>
    <row r="334">
      <c r="B334" s="93"/>
      <c r="C334" s="114"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14"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88"/>
      <c r="F334" s="20"/>
      <c r="G334" s="159"/>
      <c r="H334" s="114" t="str">
        <f t="shared" si="1"/>
        <v/>
      </c>
      <c r="I334" s="20"/>
      <c r="J334" s="20"/>
    </row>
    <row r="335">
      <c r="B335" s="93"/>
      <c r="C335" s="114"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14"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88"/>
      <c r="F335" s="20"/>
      <c r="G335" s="159"/>
      <c r="H335" s="114" t="str">
        <f t="shared" si="1"/>
        <v/>
      </c>
      <c r="I335" s="20"/>
      <c r="J335" s="20"/>
    </row>
    <row r="336">
      <c r="B336" s="93"/>
      <c r="C336" s="114"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14"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88"/>
      <c r="F336" s="20"/>
      <c r="G336" s="159"/>
      <c r="H336" s="114" t="str">
        <f t="shared" si="1"/>
        <v/>
      </c>
      <c r="I336" s="20"/>
      <c r="J336" s="20"/>
    </row>
    <row r="337">
      <c r="B337" s="93"/>
      <c r="C337" s="114"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14"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88"/>
      <c r="F337" s="20"/>
      <c r="G337" s="159"/>
      <c r="H337" s="114" t="str">
        <f t="shared" si="1"/>
        <v/>
      </c>
      <c r="I337" s="20"/>
      <c r="J337" s="20"/>
    </row>
    <row r="338">
      <c r="B338" s="93"/>
      <c r="C338" s="114"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14"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88"/>
      <c r="F338" s="20"/>
      <c r="G338" s="159"/>
      <c r="H338" s="114" t="str">
        <f t="shared" si="1"/>
        <v/>
      </c>
      <c r="I338" s="20"/>
      <c r="J338" s="20"/>
    </row>
    <row r="339">
      <c r="B339" s="93"/>
      <c r="C339" s="114"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14"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88"/>
      <c r="F339" s="20"/>
      <c r="G339" s="159"/>
      <c r="H339" s="114" t="str">
        <f t="shared" si="1"/>
        <v/>
      </c>
      <c r="I339" s="20"/>
      <c r="J339" s="20"/>
    </row>
    <row r="340">
      <c r="B340" s="93"/>
      <c r="C340" s="114"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14"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88"/>
      <c r="F340" s="20"/>
      <c r="G340" s="159"/>
      <c r="H340" s="114" t="str">
        <f t="shared" si="1"/>
        <v/>
      </c>
      <c r="I340" s="20"/>
      <c r="J340" s="20"/>
    </row>
    <row r="341">
      <c r="B341" s="93"/>
      <c r="C341" s="114"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14"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88"/>
      <c r="F341" s="20"/>
      <c r="G341" s="159"/>
      <c r="H341" s="114" t="str">
        <f t="shared" si="1"/>
        <v/>
      </c>
      <c r="I341" s="20"/>
      <c r="J341" s="20"/>
    </row>
    <row r="342">
      <c r="B342" s="93"/>
      <c r="C342" s="114"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14"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88"/>
      <c r="F342" s="20"/>
      <c r="G342" s="159"/>
      <c r="H342" s="114" t="str">
        <f t="shared" si="1"/>
        <v/>
      </c>
      <c r="I342" s="20"/>
      <c r="J342" s="20"/>
    </row>
    <row r="343">
      <c r="B343" s="93"/>
      <c r="C343" s="114"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14"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88"/>
      <c r="F343" s="20"/>
      <c r="G343" s="159"/>
      <c r="H343" s="114" t="str">
        <f t="shared" si="1"/>
        <v/>
      </c>
      <c r="I343" s="20"/>
      <c r="J343" s="20"/>
    </row>
    <row r="344">
      <c r="B344" s="93"/>
      <c r="C344" s="114"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14"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88"/>
      <c r="F344" s="20"/>
      <c r="G344" s="159"/>
      <c r="H344" s="114" t="str">
        <f t="shared" si="1"/>
        <v/>
      </c>
      <c r="I344" s="20"/>
      <c r="J344" s="20"/>
    </row>
    <row r="345">
      <c r="B345" s="93"/>
      <c r="C345" s="114"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14"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88"/>
      <c r="F345" s="20"/>
      <c r="G345" s="159"/>
      <c r="H345" s="114" t="str">
        <f t="shared" si="1"/>
        <v/>
      </c>
      <c r="I345" s="20"/>
      <c r="J345" s="20"/>
    </row>
    <row r="346">
      <c r="B346" s="93"/>
      <c r="C346" s="114"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14"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88"/>
      <c r="F346" s="20"/>
      <c r="G346" s="159"/>
      <c r="H346" s="114" t="str">
        <f t="shared" si="1"/>
        <v/>
      </c>
      <c r="I346" s="20"/>
      <c r="J346" s="20"/>
    </row>
    <row r="347">
      <c r="B347" s="93"/>
      <c r="C347" s="114"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14"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88"/>
      <c r="F347" s="20"/>
      <c r="G347" s="159"/>
      <c r="H347" s="114" t="str">
        <f t="shared" si="1"/>
        <v/>
      </c>
      <c r="I347" s="20"/>
      <c r="J347" s="20"/>
    </row>
    <row r="348">
      <c r="B348" s="93"/>
      <c r="C348" s="114"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14"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88"/>
      <c r="F348" s="20"/>
      <c r="G348" s="159"/>
      <c r="H348" s="114" t="str">
        <f t="shared" si="1"/>
        <v/>
      </c>
      <c r="I348" s="20"/>
      <c r="J348" s="20"/>
    </row>
    <row r="349">
      <c r="B349" s="93"/>
      <c r="C349" s="114"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14"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88"/>
      <c r="F349" s="20"/>
      <c r="G349" s="159"/>
      <c r="H349" s="114" t="str">
        <f t="shared" si="1"/>
        <v/>
      </c>
      <c r="I349" s="20"/>
      <c r="J349" s="20"/>
    </row>
    <row r="350">
      <c r="B350" s="93"/>
      <c r="C350" s="114"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14"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88"/>
      <c r="F350" s="20"/>
      <c r="G350" s="159"/>
      <c r="H350" s="114" t="str">
        <f t="shared" si="1"/>
        <v/>
      </c>
      <c r="I350" s="20"/>
      <c r="J350" s="20"/>
    </row>
    <row r="351">
      <c r="B351" s="93"/>
      <c r="C351" s="114"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14"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88"/>
      <c r="F351" s="20"/>
      <c r="G351" s="159"/>
      <c r="H351" s="114" t="str">
        <f t="shared" si="1"/>
        <v/>
      </c>
      <c r="I351" s="20"/>
      <c r="J351" s="20"/>
    </row>
    <row r="352">
      <c r="B352" s="93"/>
      <c r="C352" s="114"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14"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88"/>
      <c r="F352" s="20"/>
      <c r="G352" s="159"/>
      <c r="H352" s="114" t="str">
        <f t="shared" si="1"/>
        <v/>
      </c>
      <c r="I352" s="20"/>
      <c r="J352" s="20"/>
    </row>
    <row r="353">
      <c r="B353" s="93"/>
      <c r="C353" s="114"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14"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88"/>
      <c r="F353" s="20"/>
      <c r="G353" s="159"/>
      <c r="H353" s="114" t="str">
        <f t="shared" si="1"/>
        <v/>
      </c>
      <c r="I353" s="20"/>
      <c r="J353" s="20"/>
    </row>
    <row r="354">
      <c r="B354" s="93"/>
      <c r="C354" s="114"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14"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88"/>
      <c r="F354" s="20"/>
      <c r="G354" s="159"/>
      <c r="H354" s="114" t="str">
        <f t="shared" si="1"/>
        <v/>
      </c>
      <c r="I354" s="20"/>
      <c r="J354" s="20"/>
    </row>
    <row r="355">
      <c r="B355" s="93"/>
      <c r="C355" s="114"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14"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88"/>
      <c r="F355" s="20"/>
      <c r="G355" s="159"/>
      <c r="H355" s="114" t="str">
        <f t="shared" si="1"/>
        <v/>
      </c>
      <c r="I355" s="20"/>
      <c r="J355" s="20"/>
    </row>
    <row r="356">
      <c r="B356" s="93"/>
      <c r="C356" s="114"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14"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88"/>
      <c r="F356" s="20"/>
      <c r="G356" s="159"/>
      <c r="H356" s="114" t="str">
        <f t="shared" si="1"/>
        <v/>
      </c>
      <c r="I356" s="20"/>
      <c r="J356" s="20"/>
    </row>
    <row r="357">
      <c r="B357" s="93"/>
      <c r="C357" s="114"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14"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88"/>
      <c r="F357" s="20"/>
      <c r="G357" s="159"/>
      <c r="H357" s="114" t="str">
        <f t="shared" si="1"/>
        <v/>
      </c>
      <c r="I357" s="20"/>
      <c r="J357" s="20"/>
    </row>
    <row r="358">
      <c r="B358" s="93"/>
      <c r="C358" s="114"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14"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88"/>
      <c r="F358" s="20"/>
      <c r="G358" s="159"/>
      <c r="H358" s="114" t="str">
        <f t="shared" si="1"/>
        <v/>
      </c>
      <c r="I358" s="20"/>
      <c r="J358" s="20"/>
    </row>
    <row r="359">
      <c r="B359" s="93"/>
      <c r="C359" s="114"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14"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88"/>
      <c r="F359" s="20"/>
      <c r="G359" s="159"/>
      <c r="H359" s="114" t="str">
        <f t="shared" si="1"/>
        <v/>
      </c>
      <c r="I359" s="20"/>
      <c r="J359" s="20"/>
    </row>
    <row r="360">
      <c r="B360" s="93"/>
      <c r="C360" s="114"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14"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88"/>
      <c r="F360" s="20"/>
      <c r="G360" s="159"/>
      <c r="H360" s="114" t="str">
        <f t="shared" si="1"/>
        <v/>
      </c>
      <c r="I360" s="20"/>
      <c r="J360" s="20"/>
    </row>
    <row r="361">
      <c r="B361" s="93"/>
      <c r="C361" s="114"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14"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88"/>
      <c r="F361" s="20"/>
      <c r="G361" s="159"/>
      <c r="H361" s="114" t="str">
        <f t="shared" si="1"/>
        <v/>
      </c>
      <c r="I361" s="20"/>
      <c r="J361" s="20"/>
    </row>
    <row r="362">
      <c r="B362" s="93"/>
      <c r="C362" s="114"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14"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88"/>
      <c r="F362" s="20"/>
      <c r="G362" s="159"/>
      <c r="H362" s="114" t="str">
        <f t="shared" si="1"/>
        <v/>
      </c>
      <c r="I362" s="20"/>
      <c r="J362" s="20"/>
    </row>
    <row r="363">
      <c r="B363" s="93"/>
      <c r="C363" s="114"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14"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88"/>
      <c r="F363" s="20"/>
      <c r="G363" s="159"/>
      <c r="H363" s="114" t="str">
        <f t="shared" si="1"/>
        <v/>
      </c>
      <c r="I363" s="20"/>
      <c r="J363" s="20"/>
    </row>
    <row r="364">
      <c r="B364" s="93"/>
      <c r="C364" s="114"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14"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88"/>
      <c r="F364" s="20"/>
      <c r="G364" s="159"/>
      <c r="H364" s="114" t="str">
        <f t="shared" si="1"/>
        <v/>
      </c>
      <c r="I364" s="20"/>
      <c r="J364" s="20"/>
    </row>
    <row r="365">
      <c r="B365" s="93"/>
      <c r="C365" s="114"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14"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88"/>
      <c r="F365" s="20"/>
      <c r="G365" s="159"/>
      <c r="H365" s="114" t="str">
        <f t="shared" si="1"/>
        <v/>
      </c>
      <c r="I365" s="20"/>
      <c r="J365" s="20"/>
    </row>
    <row r="366">
      <c r="B366" s="93"/>
      <c r="C366" s="114"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14"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88"/>
      <c r="F366" s="20"/>
      <c r="G366" s="159"/>
      <c r="H366" s="114" t="str">
        <f t="shared" si="1"/>
        <v/>
      </c>
      <c r="I366" s="20"/>
      <c r="J366" s="20"/>
    </row>
    <row r="367">
      <c r="B367" s="93"/>
      <c r="C367" s="114"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14"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88"/>
      <c r="F367" s="20"/>
      <c r="G367" s="159"/>
      <c r="H367" s="114" t="str">
        <f t="shared" si="1"/>
        <v/>
      </c>
      <c r="I367" s="20"/>
      <c r="J367" s="20"/>
    </row>
    <row r="368">
      <c r="B368" s="93"/>
      <c r="C368" s="114"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14"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88"/>
      <c r="F368" s="20"/>
      <c r="G368" s="159"/>
      <c r="H368" s="114" t="str">
        <f t="shared" si="1"/>
        <v/>
      </c>
      <c r="I368" s="20"/>
      <c r="J368" s="20"/>
    </row>
    <row r="369">
      <c r="B369" s="93"/>
      <c r="C369" s="114"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14"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88"/>
      <c r="F369" s="20"/>
      <c r="G369" s="159"/>
      <c r="H369" s="114" t="str">
        <f t="shared" si="1"/>
        <v/>
      </c>
      <c r="I369" s="20"/>
      <c r="J369" s="20"/>
    </row>
    <row r="370">
      <c r="B370" s="93"/>
      <c r="C370" s="114"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14"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88"/>
      <c r="F370" s="20"/>
      <c r="G370" s="159"/>
      <c r="H370" s="114" t="str">
        <f t="shared" si="1"/>
        <v/>
      </c>
      <c r="I370" s="20"/>
      <c r="J370" s="20"/>
    </row>
    <row r="371">
      <c r="B371" s="93"/>
      <c r="C371" s="114"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14"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88"/>
      <c r="F371" s="20"/>
      <c r="G371" s="159"/>
      <c r="H371" s="114" t="str">
        <f t="shared" si="1"/>
        <v/>
      </c>
      <c r="I371" s="20"/>
      <c r="J371" s="20"/>
    </row>
    <row r="372">
      <c r="B372" s="93"/>
      <c r="C372" s="114"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14"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88"/>
      <c r="F372" s="20"/>
      <c r="G372" s="159"/>
      <c r="H372" s="114" t="str">
        <f t="shared" si="1"/>
        <v/>
      </c>
      <c r="I372" s="20"/>
      <c r="J372" s="20"/>
    </row>
    <row r="373">
      <c r="B373" s="93"/>
      <c r="C373" s="114"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14"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88"/>
      <c r="F373" s="20"/>
      <c r="G373" s="159"/>
      <c r="H373" s="114" t="str">
        <f t="shared" si="1"/>
        <v/>
      </c>
      <c r="I373" s="20"/>
      <c r="J373" s="20"/>
    </row>
    <row r="374">
      <c r="B374" s="93"/>
      <c r="C374" s="114"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14"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88"/>
      <c r="F374" s="20"/>
      <c r="G374" s="159"/>
      <c r="H374" s="114" t="str">
        <f t="shared" si="1"/>
        <v/>
      </c>
      <c r="I374" s="20"/>
      <c r="J374" s="20"/>
    </row>
    <row r="375">
      <c r="B375" s="93"/>
      <c r="C375" s="114"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14"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88"/>
      <c r="F375" s="20"/>
      <c r="G375" s="159"/>
      <c r="H375" s="114" t="str">
        <f t="shared" si="1"/>
        <v/>
      </c>
      <c r="I375" s="20"/>
      <c r="J375" s="20"/>
    </row>
    <row r="376">
      <c r="B376" s="93"/>
      <c r="C376" s="114"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14"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88"/>
      <c r="F376" s="20"/>
      <c r="G376" s="159"/>
      <c r="H376" s="114" t="str">
        <f t="shared" si="1"/>
        <v/>
      </c>
      <c r="I376" s="20"/>
      <c r="J376" s="20"/>
    </row>
    <row r="377">
      <c r="B377" s="93"/>
      <c r="C377" s="114"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14"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88"/>
      <c r="F377" s="20"/>
      <c r="G377" s="159"/>
      <c r="H377" s="114" t="str">
        <f t="shared" si="1"/>
        <v/>
      </c>
      <c r="I377" s="20"/>
      <c r="J377" s="20"/>
    </row>
    <row r="378">
      <c r="B378" s="93"/>
      <c r="C378" s="114"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14"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88"/>
      <c r="F378" s="20"/>
      <c r="G378" s="159"/>
      <c r="H378" s="114" t="str">
        <f t="shared" si="1"/>
        <v/>
      </c>
      <c r="I378" s="20"/>
      <c r="J378" s="20"/>
    </row>
    <row r="379">
      <c r="B379" s="93"/>
      <c r="C379" s="114"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14"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88"/>
      <c r="F379" s="20"/>
      <c r="G379" s="159"/>
      <c r="H379" s="114" t="str">
        <f t="shared" si="1"/>
        <v/>
      </c>
      <c r="I379" s="20"/>
      <c r="J379" s="20"/>
    </row>
    <row r="380">
      <c r="B380" s="93"/>
      <c r="C380" s="114"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14"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88"/>
      <c r="F380" s="20"/>
      <c r="G380" s="159"/>
      <c r="H380" s="114" t="str">
        <f t="shared" si="1"/>
        <v/>
      </c>
      <c r="I380" s="20"/>
      <c r="J380" s="20"/>
    </row>
    <row r="381">
      <c r="B381" s="93"/>
      <c r="C381" s="114"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14"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88"/>
      <c r="F381" s="20"/>
      <c r="G381" s="159"/>
      <c r="H381" s="114" t="str">
        <f t="shared" si="1"/>
        <v/>
      </c>
      <c r="I381" s="20"/>
      <c r="J381" s="20"/>
    </row>
    <row r="382">
      <c r="B382" s="93"/>
      <c r="C382" s="114"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14"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88"/>
      <c r="F382" s="20"/>
      <c r="G382" s="159"/>
      <c r="H382" s="114" t="str">
        <f t="shared" si="1"/>
        <v/>
      </c>
      <c r="I382" s="20"/>
      <c r="J382" s="20"/>
    </row>
    <row r="383">
      <c r="B383" s="93"/>
      <c r="C383" s="114"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14"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88"/>
      <c r="F383" s="20"/>
      <c r="G383" s="159"/>
      <c r="H383" s="114" t="str">
        <f t="shared" si="1"/>
        <v/>
      </c>
      <c r="I383" s="20"/>
      <c r="J383" s="20"/>
    </row>
    <row r="384">
      <c r="B384" s="93"/>
      <c r="C384" s="114"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14"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88"/>
      <c r="F384" s="20"/>
      <c r="G384" s="159"/>
      <c r="H384" s="114" t="str">
        <f t="shared" si="1"/>
        <v/>
      </c>
      <c r="I384" s="20"/>
      <c r="J384" s="20"/>
    </row>
    <row r="385">
      <c r="B385" s="93"/>
      <c r="C385" s="114"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14"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88"/>
      <c r="F385" s="20"/>
      <c r="G385" s="159"/>
      <c r="H385" s="114" t="str">
        <f t="shared" si="1"/>
        <v/>
      </c>
      <c r="I385" s="20"/>
      <c r="J385" s="20"/>
    </row>
    <row r="386">
      <c r="B386" s="93"/>
      <c r="C386" s="114"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14"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88"/>
      <c r="F386" s="20"/>
      <c r="G386" s="159"/>
      <c r="H386" s="114" t="str">
        <f t="shared" si="1"/>
        <v/>
      </c>
      <c r="I386" s="20"/>
      <c r="J386" s="20"/>
    </row>
    <row r="387">
      <c r="B387" s="93"/>
      <c r="C387" s="114"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14"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88"/>
      <c r="F387" s="20"/>
      <c r="G387" s="159"/>
      <c r="H387" s="114" t="str">
        <f t="shared" si="1"/>
        <v/>
      </c>
      <c r="I387" s="20"/>
      <c r="J387" s="20"/>
    </row>
    <row r="388">
      <c r="B388" s="93"/>
      <c r="C388" s="114"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14"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88"/>
      <c r="F388" s="20"/>
      <c r="G388" s="159"/>
      <c r="H388" s="114" t="str">
        <f t="shared" si="1"/>
        <v/>
      </c>
      <c r="I388" s="20"/>
      <c r="J388" s="20"/>
    </row>
    <row r="389">
      <c r="B389" s="93"/>
      <c r="C389" s="114"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14"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88"/>
      <c r="F389" s="20"/>
      <c r="G389" s="159"/>
      <c r="H389" s="114" t="str">
        <f t="shared" si="1"/>
        <v/>
      </c>
      <c r="I389" s="20"/>
      <c r="J389" s="20"/>
    </row>
    <row r="390">
      <c r="B390" s="93"/>
      <c r="C390" s="114"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14"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88"/>
      <c r="F390" s="20"/>
      <c r="G390" s="159"/>
      <c r="H390" s="114" t="str">
        <f t="shared" si="1"/>
        <v/>
      </c>
      <c r="I390" s="20"/>
      <c r="J390" s="20"/>
    </row>
    <row r="391">
      <c r="B391" s="93"/>
      <c r="C391" s="114"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14"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88"/>
      <c r="F391" s="20"/>
      <c r="G391" s="159"/>
      <c r="H391" s="114" t="str">
        <f t="shared" si="1"/>
        <v/>
      </c>
      <c r="I391" s="20"/>
      <c r="J391" s="20"/>
    </row>
    <row r="392">
      <c r="B392" s="93"/>
      <c r="C392" s="114"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14"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88"/>
      <c r="F392" s="20"/>
      <c r="G392" s="159"/>
      <c r="H392" s="114" t="str">
        <f t="shared" si="1"/>
        <v/>
      </c>
      <c r="I392" s="20"/>
      <c r="J392" s="20"/>
    </row>
    <row r="393">
      <c r="B393" s="93"/>
      <c r="C393" s="114"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14"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88"/>
      <c r="F393" s="20"/>
      <c r="G393" s="159"/>
      <c r="H393" s="114" t="str">
        <f t="shared" si="1"/>
        <v/>
      </c>
      <c r="I393" s="20"/>
      <c r="J393" s="20"/>
    </row>
    <row r="394">
      <c r="B394" s="93"/>
      <c r="C394" s="114"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14"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88"/>
      <c r="F394" s="20"/>
      <c r="G394" s="159"/>
      <c r="H394" s="114" t="str">
        <f t="shared" si="1"/>
        <v/>
      </c>
      <c r="I394" s="20"/>
      <c r="J394" s="20"/>
    </row>
    <row r="395">
      <c r="B395" s="93"/>
      <c r="C395" s="114"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14"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88"/>
      <c r="F395" s="20"/>
      <c r="G395" s="159"/>
      <c r="H395" s="114" t="str">
        <f t="shared" si="1"/>
        <v/>
      </c>
      <c r="I395" s="20"/>
      <c r="J395" s="20"/>
    </row>
    <row r="396">
      <c r="B396" s="93"/>
      <c r="C396" s="114"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14"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88"/>
      <c r="F396" s="20"/>
      <c r="G396" s="159"/>
      <c r="H396" s="114" t="str">
        <f t="shared" si="1"/>
        <v/>
      </c>
      <c r="I396" s="20"/>
      <c r="J396" s="20"/>
    </row>
    <row r="397">
      <c r="B397" s="93"/>
      <c r="C397" s="114"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14"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88"/>
      <c r="F397" s="20"/>
      <c r="G397" s="159"/>
      <c r="H397" s="114" t="str">
        <f t="shared" si="1"/>
        <v/>
      </c>
      <c r="I397" s="20"/>
      <c r="J397" s="20"/>
    </row>
    <row r="398">
      <c r="B398" s="93"/>
      <c r="C398" s="114"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14"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88"/>
      <c r="F398" s="20"/>
      <c r="G398" s="159"/>
      <c r="H398" s="114" t="str">
        <f t="shared" si="1"/>
        <v/>
      </c>
      <c r="I398" s="20"/>
      <c r="J398" s="20"/>
    </row>
    <row r="399">
      <c r="B399" s="93"/>
      <c r="C399" s="114"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14"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88"/>
      <c r="F399" s="20"/>
      <c r="G399" s="159"/>
      <c r="H399" s="114" t="str">
        <f t="shared" si="1"/>
        <v/>
      </c>
      <c r="I399" s="20"/>
      <c r="J399" s="20"/>
    </row>
    <row r="400">
      <c r="B400" s="93"/>
      <c r="C400" s="114"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14"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88"/>
      <c r="F400" s="20"/>
      <c r="G400" s="159"/>
      <c r="H400" s="114" t="str">
        <f t="shared" si="1"/>
        <v/>
      </c>
      <c r="I400" s="20"/>
      <c r="J400" s="20"/>
    </row>
    <row r="401">
      <c r="B401" s="93"/>
      <c r="C401" s="114"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14"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88"/>
      <c r="F401" s="20"/>
      <c r="G401" s="159"/>
      <c r="H401" s="114" t="str">
        <f t="shared" si="1"/>
        <v/>
      </c>
      <c r="I401" s="20"/>
      <c r="J401" s="20"/>
    </row>
    <row r="402">
      <c r="B402" s="93"/>
      <c r="C402" s="114"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14"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88"/>
      <c r="F402" s="20"/>
      <c r="G402" s="159"/>
      <c r="H402" s="114" t="str">
        <f t="shared" si="1"/>
        <v/>
      </c>
      <c r="I402" s="20"/>
      <c r="J402" s="20"/>
    </row>
    <row r="403">
      <c r="B403" s="93"/>
      <c r="C403" s="114"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14"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88"/>
      <c r="F403" s="20"/>
      <c r="G403" s="159"/>
      <c r="H403" s="114" t="str">
        <f t="shared" si="1"/>
        <v/>
      </c>
      <c r="I403" s="20"/>
      <c r="J403" s="20"/>
    </row>
    <row r="404">
      <c r="B404" s="93"/>
      <c r="C404" s="114"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14"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88"/>
      <c r="F404" s="20"/>
      <c r="G404" s="159"/>
      <c r="H404" s="114" t="str">
        <f t="shared" si="1"/>
        <v/>
      </c>
      <c r="I404" s="20"/>
      <c r="J404" s="20"/>
    </row>
    <row r="405">
      <c r="B405" s="93"/>
      <c r="C405" s="114"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14"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88"/>
      <c r="F405" s="20"/>
      <c r="G405" s="159"/>
      <c r="H405" s="114" t="str">
        <f t="shared" si="1"/>
        <v/>
      </c>
      <c r="I405" s="20"/>
      <c r="J405" s="20"/>
    </row>
    <row r="406">
      <c r="B406" s="93"/>
      <c r="C406" s="114"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14"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88"/>
      <c r="F406" s="20"/>
      <c r="G406" s="159"/>
      <c r="H406" s="114" t="str">
        <f t="shared" si="1"/>
        <v/>
      </c>
      <c r="I406" s="20"/>
      <c r="J406" s="20"/>
    </row>
    <row r="407">
      <c r="B407" s="93"/>
      <c r="C407" s="114"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14"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88"/>
      <c r="F407" s="20"/>
      <c r="G407" s="159"/>
      <c r="H407" s="114" t="str">
        <f t="shared" si="1"/>
        <v/>
      </c>
      <c r="I407" s="20"/>
      <c r="J407" s="20"/>
    </row>
    <row r="408">
      <c r="B408" s="93"/>
      <c r="C408" s="114"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14"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88"/>
      <c r="F408" s="20"/>
      <c r="G408" s="159"/>
      <c r="H408" s="114" t="str">
        <f t="shared" si="1"/>
        <v/>
      </c>
      <c r="I408" s="20"/>
      <c r="J408" s="20"/>
    </row>
    <row r="409">
      <c r="B409" s="93"/>
      <c r="C409" s="114"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14"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88"/>
      <c r="F409" s="20"/>
      <c r="G409" s="159"/>
      <c r="H409" s="114" t="str">
        <f t="shared" si="1"/>
        <v/>
      </c>
      <c r="I409" s="20"/>
      <c r="J409" s="20"/>
    </row>
    <row r="410">
      <c r="B410" s="93"/>
      <c r="C410" s="114"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14"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88"/>
      <c r="F410" s="20"/>
      <c r="G410" s="159"/>
      <c r="H410" s="114" t="str">
        <f t="shared" si="1"/>
        <v/>
      </c>
      <c r="I410" s="20"/>
      <c r="J410" s="20"/>
    </row>
    <row r="411">
      <c r="B411" s="93"/>
      <c r="C411" s="114"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14"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88"/>
      <c r="F411" s="20"/>
      <c r="G411" s="159"/>
      <c r="H411" s="114" t="str">
        <f t="shared" si="1"/>
        <v/>
      </c>
      <c r="I411" s="20"/>
      <c r="J411" s="20"/>
    </row>
    <row r="412">
      <c r="B412" s="93"/>
      <c r="C412" s="114"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14"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88"/>
      <c r="F412" s="20"/>
      <c r="G412" s="159"/>
      <c r="H412" s="114" t="str">
        <f t="shared" si="1"/>
        <v/>
      </c>
      <c r="I412" s="20"/>
      <c r="J412" s="20"/>
    </row>
    <row r="413">
      <c r="B413" s="93"/>
      <c r="C413" s="114"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14"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88"/>
      <c r="F413" s="20"/>
      <c r="G413" s="159"/>
      <c r="H413" s="114" t="str">
        <f t="shared" si="1"/>
        <v/>
      </c>
      <c r="I413" s="20"/>
      <c r="J413" s="20"/>
    </row>
    <row r="414">
      <c r="B414" s="93"/>
      <c r="C414" s="114"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14"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88"/>
      <c r="F414" s="20"/>
      <c r="G414" s="159"/>
      <c r="H414" s="114" t="str">
        <f t="shared" si="1"/>
        <v/>
      </c>
      <c r="I414" s="20"/>
      <c r="J414" s="20"/>
    </row>
    <row r="415">
      <c r="B415" s="93"/>
      <c r="C415" s="114"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14"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88"/>
      <c r="F415" s="20"/>
      <c r="G415" s="159"/>
      <c r="H415" s="114" t="str">
        <f t="shared" si="1"/>
        <v/>
      </c>
      <c r="I415" s="20"/>
      <c r="J415" s="20"/>
    </row>
    <row r="416">
      <c r="B416" s="93"/>
      <c r="C416" s="114"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14"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88"/>
      <c r="F416" s="20"/>
      <c r="G416" s="159"/>
      <c r="H416" s="114" t="str">
        <f t="shared" si="1"/>
        <v/>
      </c>
      <c r="I416" s="20"/>
      <c r="J416" s="20"/>
    </row>
    <row r="417">
      <c r="B417" s="93"/>
      <c r="C417" s="114"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14"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88"/>
      <c r="F417" s="20"/>
      <c r="G417" s="159"/>
      <c r="H417" s="114" t="str">
        <f t="shared" si="1"/>
        <v/>
      </c>
      <c r="I417" s="20"/>
      <c r="J417" s="20"/>
    </row>
    <row r="418">
      <c r="B418" s="93"/>
      <c r="C418" s="114"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14"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88"/>
      <c r="F418" s="20"/>
      <c r="G418" s="159"/>
      <c r="H418" s="114" t="str">
        <f t="shared" si="1"/>
        <v/>
      </c>
      <c r="I418" s="20"/>
      <c r="J418" s="20"/>
    </row>
    <row r="419">
      <c r="B419" s="93"/>
      <c r="C419" s="114"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14"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88"/>
      <c r="F419" s="20"/>
      <c r="G419" s="159"/>
      <c r="H419" s="114" t="str">
        <f t="shared" si="1"/>
        <v/>
      </c>
      <c r="I419" s="20"/>
      <c r="J419" s="20"/>
    </row>
    <row r="420">
      <c r="B420" s="93"/>
      <c r="C420" s="114"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14"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88"/>
      <c r="F420" s="20"/>
      <c r="G420" s="159"/>
      <c r="H420" s="114" t="str">
        <f t="shared" si="1"/>
        <v/>
      </c>
      <c r="I420" s="20"/>
      <c r="J420" s="20"/>
    </row>
    <row r="421">
      <c r="B421" s="93"/>
      <c r="C421" s="114"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14"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88"/>
      <c r="F421" s="20"/>
      <c r="G421" s="159"/>
      <c r="H421" s="114" t="str">
        <f t="shared" si="1"/>
        <v/>
      </c>
      <c r="I421" s="20"/>
      <c r="J421" s="20"/>
    </row>
    <row r="422">
      <c r="B422" s="93"/>
      <c r="C422" s="114"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14"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88"/>
      <c r="F422" s="20"/>
      <c r="G422" s="159"/>
      <c r="H422" s="114" t="str">
        <f t="shared" si="1"/>
        <v/>
      </c>
      <c r="I422" s="20"/>
      <c r="J422" s="20"/>
    </row>
    <row r="423">
      <c r="B423" s="93"/>
      <c r="C423" s="114"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14"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88"/>
      <c r="F423" s="20"/>
      <c r="G423" s="159"/>
      <c r="H423" s="114" t="str">
        <f t="shared" si="1"/>
        <v/>
      </c>
      <c r="I423" s="20"/>
      <c r="J423" s="20"/>
    </row>
    <row r="424">
      <c r="B424" s="93"/>
      <c r="C424" s="114"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14"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88"/>
      <c r="F424" s="20"/>
      <c r="G424" s="159"/>
      <c r="H424" s="114" t="str">
        <f t="shared" si="1"/>
        <v/>
      </c>
      <c r="I424" s="20"/>
      <c r="J424" s="20"/>
    </row>
    <row r="425">
      <c r="B425" s="93"/>
      <c r="C425" s="114"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14"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88"/>
      <c r="F425" s="20"/>
      <c r="G425" s="159"/>
      <c r="H425" s="114" t="str">
        <f t="shared" si="1"/>
        <v/>
      </c>
      <c r="I425" s="20"/>
      <c r="J425" s="20"/>
    </row>
    <row r="426">
      <c r="B426" s="93"/>
      <c r="C426" s="114"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14"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88"/>
      <c r="F426" s="20"/>
      <c r="G426" s="159"/>
      <c r="H426" s="114" t="str">
        <f t="shared" si="1"/>
        <v/>
      </c>
      <c r="I426" s="20"/>
      <c r="J426" s="20"/>
    </row>
    <row r="427">
      <c r="B427" s="93"/>
      <c r="C427" s="114"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14"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88"/>
      <c r="F427" s="20"/>
      <c r="G427" s="159"/>
      <c r="H427" s="114" t="str">
        <f t="shared" si="1"/>
        <v/>
      </c>
      <c r="I427" s="20"/>
      <c r="J427" s="20"/>
    </row>
    <row r="428">
      <c r="B428" s="93"/>
      <c r="C428" s="114"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14"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88"/>
      <c r="F428" s="20"/>
      <c r="G428" s="159"/>
      <c r="H428" s="114" t="str">
        <f t="shared" si="1"/>
        <v/>
      </c>
      <c r="I428" s="20"/>
      <c r="J428" s="20"/>
    </row>
    <row r="429">
      <c r="B429" s="93"/>
      <c r="C429" s="114"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14"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88"/>
      <c r="F429" s="20"/>
      <c r="G429" s="159"/>
      <c r="H429" s="114" t="str">
        <f t="shared" si="1"/>
        <v/>
      </c>
      <c r="I429" s="20"/>
      <c r="J429" s="20"/>
    </row>
    <row r="430">
      <c r="B430" s="93"/>
      <c r="C430" s="114"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14"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88"/>
      <c r="F430" s="20"/>
      <c r="G430" s="159"/>
      <c r="H430" s="114" t="str">
        <f t="shared" si="1"/>
        <v/>
      </c>
      <c r="I430" s="20"/>
      <c r="J430" s="20"/>
    </row>
    <row r="431">
      <c r="B431" s="93"/>
      <c r="C431" s="114"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14"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88"/>
      <c r="F431" s="20"/>
      <c r="G431" s="159"/>
      <c r="H431" s="114" t="str">
        <f t="shared" si="1"/>
        <v/>
      </c>
      <c r="I431" s="20"/>
      <c r="J431" s="20"/>
    </row>
    <row r="432">
      <c r="B432" s="93"/>
      <c r="C432" s="114"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14"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88"/>
      <c r="F432" s="20"/>
      <c r="G432" s="159"/>
      <c r="H432" s="114" t="str">
        <f t="shared" si="1"/>
        <v/>
      </c>
      <c r="I432" s="20"/>
      <c r="J432" s="20"/>
    </row>
    <row r="433">
      <c r="B433" s="93"/>
      <c r="C433" s="114"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14"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88"/>
      <c r="F433" s="20"/>
      <c r="G433" s="159"/>
      <c r="H433" s="114" t="str">
        <f t="shared" si="1"/>
        <v/>
      </c>
      <c r="I433" s="20"/>
      <c r="J433" s="20"/>
    </row>
    <row r="434">
      <c r="B434" s="93"/>
      <c r="C434" s="114"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14"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88"/>
      <c r="F434" s="20"/>
      <c r="G434" s="159"/>
      <c r="H434" s="114" t="str">
        <f t="shared" si="1"/>
        <v/>
      </c>
      <c r="I434" s="20"/>
      <c r="J434" s="20"/>
    </row>
    <row r="435">
      <c r="B435" s="93"/>
      <c r="C435" s="114"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14"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88"/>
      <c r="F435" s="20"/>
      <c r="G435" s="159"/>
      <c r="H435" s="114" t="str">
        <f t="shared" si="1"/>
        <v/>
      </c>
      <c r="I435" s="20"/>
      <c r="J435" s="20"/>
    </row>
    <row r="436">
      <c r="B436" s="93"/>
      <c r="C436" s="114"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14"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88"/>
      <c r="F436" s="20"/>
      <c r="G436" s="159"/>
      <c r="H436" s="114" t="str">
        <f t="shared" si="1"/>
        <v/>
      </c>
      <c r="I436" s="20"/>
      <c r="J436" s="20"/>
    </row>
    <row r="437">
      <c r="B437" s="93"/>
      <c r="C437" s="114"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14"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88"/>
      <c r="F437" s="20"/>
      <c r="G437" s="159"/>
      <c r="H437" s="114" t="str">
        <f t="shared" si="1"/>
        <v/>
      </c>
      <c r="I437" s="20"/>
      <c r="J437" s="20"/>
    </row>
    <row r="438">
      <c r="B438" s="93"/>
      <c r="C438" s="114"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14"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88"/>
      <c r="F438" s="20"/>
      <c r="G438" s="159"/>
      <c r="H438" s="114" t="str">
        <f t="shared" si="1"/>
        <v/>
      </c>
      <c r="I438" s="20"/>
      <c r="J438" s="20"/>
    </row>
    <row r="439">
      <c r="B439" s="93"/>
      <c r="C439" s="114"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14"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88"/>
      <c r="F439" s="20"/>
      <c r="G439" s="159"/>
      <c r="H439" s="114" t="str">
        <f t="shared" si="1"/>
        <v/>
      </c>
      <c r="I439" s="20"/>
      <c r="J439" s="20"/>
    </row>
    <row r="440">
      <c r="B440" s="93"/>
      <c r="C440" s="114"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14"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88"/>
      <c r="F440" s="20"/>
      <c r="G440" s="159"/>
      <c r="H440" s="114" t="str">
        <f t="shared" si="1"/>
        <v/>
      </c>
      <c r="I440" s="20"/>
      <c r="J440" s="20"/>
    </row>
    <row r="441">
      <c r="B441" s="93"/>
      <c r="C441" s="114"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14"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88"/>
      <c r="F441" s="20"/>
      <c r="G441" s="159"/>
      <c r="H441" s="114" t="str">
        <f t="shared" si="1"/>
        <v/>
      </c>
      <c r="I441" s="20"/>
      <c r="J441" s="20"/>
    </row>
    <row r="442">
      <c r="B442" s="93"/>
      <c r="C442" s="114"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14"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88"/>
      <c r="F442" s="20"/>
      <c r="G442" s="159"/>
      <c r="H442" s="114" t="str">
        <f t="shared" si="1"/>
        <v/>
      </c>
      <c r="I442" s="20"/>
      <c r="J442" s="20"/>
    </row>
    <row r="443">
      <c r="B443" s="93"/>
      <c r="C443" s="114"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14"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88"/>
      <c r="F443" s="20"/>
      <c r="G443" s="159"/>
      <c r="H443" s="114" t="str">
        <f t="shared" si="1"/>
        <v/>
      </c>
      <c r="I443" s="20"/>
      <c r="J443" s="20"/>
    </row>
    <row r="444">
      <c r="B444" s="93"/>
      <c r="C444" s="114"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14"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88"/>
      <c r="F444" s="20"/>
      <c r="G444" s="159"/>
      <c r="H444" s="114" t="str">
        <f t="shared" si="1"/>
        <v/>
      </c>
      <c r="I444" s="20"/>
      <c r="J444" s="20"/>
    </row>
    <row r="445">
      <c r="B445" s="93"/>
      <c r="C445" s="114"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14"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88"/>
      <c r="F445" s="20"/>
      <c r="G445" s="159"/>
      <c r="H445" s="114" t="str">
        <f t="shared" si="1"/>
        <v/>
      </c>
      <c r="I445" s="20"/>
      <c r="J445" s="20"/>
    </row>
    <row r="446">
      <c r="B446" s="93"/>
      <c r="C446" s="114"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14"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88"/>
      <c r="F446" s="20"/>
      <c r="G446" s="159"/>
      <c r="H446" s="114" t="str">
        <f t="shared" si="1"/>
        <v/>
      </c>
      <c r="I446" s="20"/>
      <c r="J446" s="20"/>
    </row>
    <row r="447">
      <c r="B447" s="93"/>
      <c r="C447" s="114"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14"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88"/>
      <c r="F447" s="20"/>
      <c r="G447" s="159"/>
      <c r="H447" s="114" t="str">
        <f t="shared" si="1"/>
        <v/>
      </c>
      <c r="I447" s="20"/>
      <c r="J447" s="20"/>
    </row>
    <row r="448">
      <c r="B448" s="93"/>
      <c r="C448" s="114"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14"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88"/>
      <c r="F448" s="20"/>
      <c r="G448" s="159"/>
      <c r="H448" s="114" t="str">
        <f t="shared" si="1"/>
        <v/>
      </c>
      <c r="I448" s="20"/>
      <c r="J448" s="20"/>
    </row>
    <row r="449">
      <c r="B449" s="93"/>
      <c r="C449" s="114"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14"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88"/>
      <c r="F449" s="20"/>
      <c r="G449" s="159"/>
      <c r="H449" s="114" t="str">
        <f t="shared" si="1"/>
        <v/>
      </c>
      <c r="I449" s="20"/>
      <c r="J449" s="20"/>
    </row>
    <row r="450">
      <c r="B450" s="93"/>
      <c r="C450" s="114"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14"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88"/>
      <c r="F450" s="20"/>
      <c r="G450" s="159"/>
      <c r="H450" s="114" t="str">
        <f t="shared" si="1"/>
        <v/>
      </c>
      <c r="I450" s="20"/>
      <c r="J450" s="20"/>
    </row>
    <row r="451">
      <c r="B451" s="93"/>
      <c r="C451" s="114"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14"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88"/>
      <c r="F451" s="20"/>
      <c r="G451" s="159"/>
      <c r="H451" s="114" t="str">
        <f t="shared" si="1"/>
        <v/>
      </c>
      <c r="I451" s="20"/>
      <c r="J451" s="20"/>
    </row>
    <row r="452">
      <c r="B452" s="93"/>
      <c r="C452" s="114"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14"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88"/>
      <c r="F452" s="20"/>
      <c r="G452" s="159"/>
      <c r="H452" s="114" t="str">
        <f t="shared" si="1"/>
        <v/>
      </c>
      <c r="I452" s="20"/>
      <c r="J452" s="20"/>
    </row>
    <row r="453">
      <c r="B453" s="93"/>
      <c r="C453" s="114"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14"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88"/>
      <c r="F453" s="20"/>
      <c r="G453" s="159"/>
      <c r="H453" s="114" t="str">
        <f t="shared" si="1"/>
        <v/>
      </c>
      <c r="I453" s="20"/>
      <c r="J453" s="20"/>
    </row>
    <row r="454">
      <c r="B454" s="93"/>
      <c r="C454" s="114"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14"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88"/>
      <c r="F454" s="20"/>
      <c r="G454" s="159"/>
      <c r="H454" s="114" t="str">
        <f t="shared" si="1"/>
        <v/>
      </c>
      <c r="I454" s="20"/>
      <c r="J454" s="20"/>
    </row>
    <row r="455">
      <c r="B455" s="93"/>
      <c r="C455" s="114"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14"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88"/>
      <c r="F455" s="20"/>
      <c r="G455" s="159"/>
      <c r="H455" s="114" t="str">
        <f t="shared" si="1"/>
        <v/>
      </c>
      <c r="I455" s="20"/>
      <c r="J455" s="20"/>
    </row>
    <row r="456">
      <c r="B456" s="93"/>
      <c r="C456" s="114"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14"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88"/>
      <c r="F456" s="20"/>
      <c r="G456" s="159"/>
      <c r="H456" s="114" t="str">
        <f t="shared" si="1"/>
        <v/>
      </c>
      <c r="I456" s="20"/>
      <c r="J456" s="20"/>
    </row>
    <row r="457">
      <c r="B457" s="93"/>
      <c r="C457" s="114"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14"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88"/>
      <c r="F457" s="20"/>
      <c r="G457" s="159"/>
      <c r="H457" s="114" t="str">
        <f t="shared" si="1"/>
        <v/>
      </c>
      <c r="I457" s="20"/>
      <c r="J457" s="20"/>
    </row>
    <row r="458">
      <c r="B458" s="93"/>
      <c r="C458" s="114"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14"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88"/>
      <c r="F458" s="20"/>
      <c r="G458" s="159"/>
      <c r="H458" s="114" t="str">
        <f t="shared" si="1"/>
        <v/>
      </c>
      <c r="I458" s="20"/>
      <c r="J458" s="20"/>
    </row>
    <row r="459">
      <c r="B459" s="93"/>
      <c r="C459" s="114"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14"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88"/>
      <c r="F459" s="20"/>
      <c r="G459" s="159"/>
      <c r="H459" s="114" t="str">
        <f t="shared" si="1"/>
        <v/>
      </c>
      <c r="I459" s="20"/>
      <c r="J459" s="20"/>
    </row>
    <row r="460">
      <c r="B460" s="93"/>
      <c r="C460" s="114"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14"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88"/>
      <c r="F460" s="20"/>
      <c r="G460" s="159"/>
      <c r="H460" s="114" t="str">
        <f t="shared" si="1"/>
        <v/>
      </c>
      <c r="I460" s="20"/>
      <c r="J460" s="20"/>
    </row>
    <row r="461">
      <c r="B461" s="93"/>
      <c r="C461" s="114"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14"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88"/>
      <c r="F461" s="20"/>
      <c r="G461" s="159"/>
      <c r="H461" s="114" t="str">
        <f t="shared" si="1"/>
        <v/>
      </c>
      <c r="I461" s="20"/>
      <c r="J461" s="20"/>
    </row>
    <row r="462">
      <c r="B462" s="93"/>
      <c r="C462" s="114"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14"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88"/>
      <c r="F462" s="20"/>
      <c r="G462" s="159"/>
      <c r="H462" s="114" t="str">
        <f t="shared" si="1"/>
        <v/>
      </c>
      <c r="I462" s="20"/>
      <c r="J462" s="20"/>
    </row>
    <row r="463">
      <c r="B463" s="93"/>
      <c r="C463" s="114"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14"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88"/>
      <c r="F463" s="20"/>
      <c r="G463" s="159"/>
      <c r="H463" s="114" t="str">
        <f t="shared" si="1"/>
        <v/>
      </c>
      <c r="I463" s="20"/>
      <c r="J463" s="20"/>
    </row>
    <row r="464">
      <c r="B464" s="93"/>
      <c r="C464" s="114"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14"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88"/>
      <c r="F464" s="20"/>
      <c r="G464" s="159"/>
      <c r="H464" s="114" t="str">
        <f t="shared" si="1"/>
        <v/>
      </c>
      <c r="I464" s="20"/>
      <c r="J464" s="20"/>
    </row>
    <row r="465">
      <c r="B465" s="93"/>
      <c r="C465" s="114"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14"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88"/>
      <c r="F465" s="20"/>
      <c r="G465" s="159"/>
      <c r="H465" s="114" t="str">
        <f t="shared" si="1"/>
        <v/>
      </c>
      <c r="I465" s="20"/>
      <c r="J465" s="20"/>
    </row>
    <row r="466">
      <c r="B466" s="93"/>
      <c r="C466" s="114"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14"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88"/>
      <c r="F466" s="20"/>
      <c r="G466" s="159"/>
      <c r="H466" s="114" t="str">
        <f t="shared" si="1"/>
        <v/>
      </c>
      <c r="I466" s="20"/>
      <c r="J466" s="20"/>
    </row>
    <row r="467">
      <c r="B467" s="93"/>
      <c r="C467" s="114"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14"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88"/>
      <c r="F467" s="20"/>
      <c r="G467" s="159"/>
      <c r="H467" s="114" t="str">
        <f t="shared" si="1"/>
        <v/>
      </c>
      <c r="I467" s="20"/>
      <c r="J467" s="20"/>
    </row>
    <row r="468">
      <c r="B468" s="93"/>
      <c r="C468" s="114"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14"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88"/>
      <c r="F468" s="20"/>
      <c r="G468" s="159"/>
      <c r="H468" s="114" t="str">
        <f t="shared" si="1"/>
        <v/>
      </c>
      <c r="I468" s="20"/>
      <c r="J468" s="20"/>
    </row>
    <row r="469">
      <c r="B469" s="93"/>
      <c r="C469" s="114"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14"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88"/>
      <c r="F469" s="20"/>
      <c r="G469" s="159"/>
      <c r="H469" s="114" t="str">
        <f t="shared" si="1"/>
        <v/>
      </c>
      <c r="I469" s="20"/>
      <c r="J469" s="20"/>
    </row>
    <row r="470">
      <c r="B470" s="93"/>
      <c r="C470" s="114"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14"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88"/>
      <c r="F470" s="20"/>
      <c r="G470" s="159"/>
      <c r="H470" s="114" t="str">
        <f t="shared" si="1"/>
        <v/>
      </c>
      <c r="I470" s="20"/>
      <c r="J470" s="20"/>
    </row>
    <row r="471">
      <c r="B471" s="93"/>
      <c r="C471" s="114"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14"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88"/>
      <c r="F471" s="20"/>
      <c r="G471" s="159"/>
      <c r="H471" s="114" t="str">
        <f t="shared" si="1"/>
        <v/>
      </c>
      <c r="I471" s="20"/>
      <c r="J471" s="20"/>
    </row>
    <row r="472">
      <c r="B472" s="93"/>
      <c r="C472" s="114"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14"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88"/>
      <c r="F472" s="20"/>
      <c r="G472" s="159"/>
      <c r="H472" s="114" t="str">
        <f t="shared" si="1"/>
        <v/>
      </c>
      <c r="I472" s="20"/>
      <c r="J472" s="20"/>
    </row>
    <row r="473">
      <c r="B473" s="93"/>
      <c r="C473" s="114"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14"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88"/>
      <c r="F473" s="20"/>
      <c r="G473" s="159"/>
      <c r="H473" s="114" t="str">
        <f t="shared" si="1"/>
        <v/>
      </c>
      <c r="I473" s="20"/>
      <c r="J473" s="20"/>
    </row>
    <row r="474">
      <c r="B474" s="93"/>
      <c r="C474" s="114"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14"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88"/>
      <c r="F474" s="20"/>
      <c r="G474" s="159"/>
      <c r="H474" s="114" t="str">
        <f t="shared" si="1"/>
        <v/>
      </c>
      <c r="I474" s="20"/>
      <c r="J474" s="20"/>
    </row>
    <row r="475">
      <c r="B475" s="93"/>
      <c r="C475" s="114"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14"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88"/>
      <c r="F475" s="20"/>
      <c r="G475" s="159"/>
      <c r="H475" s="114" t="str">
        <f t="shared" si="1"/>
        <v/>
      </c>
      <c r="I475" s="20"/>
      <c r="J475" s="20"/>
    </row>
    <row r="476">
      <c r="B476" s="93"/>
      <c r="C476" s="114"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14"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88"/>
      <c r="F476" s="20"/>
      <c r="G476" s="159"/>
      <c r="H476" s="114" t="str">
        <f t="shared" si="1"/>
        <v/>
      </c>
      <c r="I476" s="20"/>
      <c r="J476" s="20"/>
    </row>
    <row r="477">
      <c r="B477" s="93"/>
      <c r="C477" s="114"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14"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88"/>
      <c r="F477" s="20"/>
      <c r="G477" s="159"/>
      <c r="H477" s="114" t="str">
        <f t="shared" si="1"/>
        <v/>
      </c>
      <c r="I477" s="20"/>
      <c r="J477" s="20"/>
    </row>
    <row r="478">
      <c r="B478" s="93"/>
      <c r="C478" s="114"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14"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88"/>
      <c r="F478" s="20"/>
      <c r="G478" s="159"/>
      <c r="H478" s="114" t="str">
        <f t="shared" si="1"/>
        <v/>
      </c>
      <c r="I478" s="20"/>
      <c r="J478" s="20"/>
    </row>
    <row r="479">
      <c r="B479" s="93"/>
      <c r="C479" s="114"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14"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88"/>
      <c r="F479" s="20"/>
      <c r="G479" s="159"/>
      <c r="H479" s="114" t="str">
        <f t="shared" si="1"/>
        <v/>
      </c>
      <c r="I479" s="20"/>
      <c r="J479" s="20"/>
    </row>
    <row r="480">
      <c r="B480" s="93"/>
      <c r="C480" s="114"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14"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88"/>
      <c r="F480" s="20"/>
      <c r="G480" s="159"/>
      <c r="H480" s="114" t="str">
        <f t="shared" si="1"/>
        <v/>
      </c>
      <c r="I480" s="20"/>
      <c r="J480" s="20"/>
    </row>
    <row r="481">
      <c r="B481" s="93"/>
      <c r="C481" s="114"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14"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88"/>
      <c r="F481" s="20"/>
      <c r="G481" s="159"/>
      <c r="H481" s="114" t="str">
        <f t="shared" si="1"/>
        <v/>
      </c>
      <c r="I481" s="20"/>
      <c r="J481" s="20"/>
    </row>
    <row r="482">
      <c r="B482" s="93"/>
      <c r="C482" s="114"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14"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88"/>
      <c r="F482" s="20"/>
      <c r="G482" s="159"/>
      <c r="H482" s="114" t="str">
        <f t="shared" si="1"/>
        <v/>
      </c>
      <c r="I482" s="20"/>
      <c r="J482" s="20"/>
    </row>
    <row r="483">
      <c r="B483" s="93"/>
      <c r="C483" s="114"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14"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88"/>
      <c r="F483" s="20"/>
      <c r="G483" s="159"/>
      <c r="H483" s="114" t="str">
        <f t="shared" si="1"/>
        <v/>
      </c>
      <c r="I483" s="20"/>
      <c r="J483" s="20"/>
    </row>
    <row r="484">
      <c r="B484" s="93"/>
      <c r="C484" s="114"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14"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88"/>
      <c r="F484" s="20"/>
      <c r="G484" s="159"/>
      <c r="H484" s="114" t="str">
        <f t="shared" si="1"/>
        <v/>
      </c>
      <c r="I484" s="20"/>
      <c r="J484" s="20"/>
    </row>
    <row r="485">
      <c r="B485" s="93"/>
      <c r="C485" s="114"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14"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88"/>
      <c r="F485" s="20"/>
      <c r="G485" s="159"/>
      <c r="H485" s="114" t="str">
        <f t="shared" si="1"/>
        <v/>
      </c>
      <c r="I485" s="20"/>
      <c r="J485" s="20"/>
    </row>
    <row r="486">
      <c r="B486" s="93"/>
      <c r="C486" s="114"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14"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88"/>
      <c r="F486" s="20"/>
      <c r="G486" s="159"/>
      <c r="H486" s="114" t="str">
        <f t="shared" si="1"/>
        <v/>
      </c>
      <c r="I486" s="20"/>
      <c r="J486" s="20"/>
    </row>
    <row r="487">
      <c r="B487" s="93"/>
      <c r="C487" s="114"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14"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88"/>
      <c r="F487" s="20"/>
      <c r="G487" s="159"/>
      <c r="H487" s="114" t="str">
        <f t="shared" si="1"/>
        <v/>
      </c>
      <c r="I487" s="20"/>
      <c r="J487" s="20"/>
    </row>
    <row r="488">
      <c r="B488" s="93"/>
      <c r="C488" s="114"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14"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88"/>
      <c r="F488" s="20"/>
      <c r="G488" s="159"/>
      <c r="H488" s="114" t="str">
        <f t="shared" si="1"/>
        <v/>
      </c>
      <c r="I488" s="20"/>
      <c r="J488" s="20"/>
    </row>
    <row r="489">
      <c r="B489" s="93"/>
      <c r="C489" s="114"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14"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88"/>
      <c r="F489" s="20"/>
      <c r="G489" s="159"/>
      <c r="H489" s="114" t="str">
        <f t="shared" si="1"/>
        <v/>
      </c>
      <c r="I489" s="20"/>
      <c r="J489" s="20"/>
    </row>
    <row r="490">
      <c r="B490" s="93"/>
      <c r="C490" s="114"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14"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88"/>
      <c r="F490" s="20"/>
      <c r="G490" s="159"/>
      <c r="H490" s="114" t="str">
        <f t="shared" si="1"/>
        <v/>
      </c>
      <c r="I490" s="20"/>
      <c r="J490" s="20"/>
    </row>
    <row r="491">
      <c r="B491" s="93"/>
      <c r="C491" s="114"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14"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88"/>
      <c r="F491" s="20"/>
      <c r="G491" s="159"/>
      <c r="H491" s="114" t="str">
        <f t="shared" si="1"/>
        <v/>
      </c>
      <c r="I491" s="20"/>
      <c r="J491" s="20"/>
    </row>
    <row r="492">
      <c r="B492" s="93"/>
      <c r="C492" s="114"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14"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88"/>
      <c r="F492" s="20"/>
      <c r="G492" s="159"/>
      <c r="H492" s="114" t="str">
        <f t="shared" si="1"/>
        <v/>
      </c>
      <c r="I492" s="20"/>
      <c r="J492" s="20"/>
    </row>
    <row r="493">
      <c r="B493" s="93"/>
      <c r="C493" s="114"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14"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88"/>
      <c r="F493" s="20"/>
      <c r="G493" s="159"/>
      <c r="H493" s="114" t="str">
        <f t="shared" si="1"/>
        <v/>
      </c>
      <c r="I493" s="20"/>
      <c r="J493" s="20"/>
    </row>
    <row r="494">
      <c r="B494" s="93"/>
      <c r="C494" s="114"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14"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88"/>
      <c r="F494" s="20"/>
      <c r="G494" s="159"/>
      <c r="H494" s="114" t="str">
        <f t="shared" si="1"/>
        <v/>
      </c>
      <c r="I494" s="20"/>
      <c r="J494" s="20"/>
    </row>
    <row r="495">
      <c r="B495" s="93"/>
      <c r="C495" s="114"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14"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88"/>
      <c r="F495" s="20"/>
      <c r="G495" s="159"/>
      <c r="H495" s="114" t="str">
        <f t="shared" si="1"/>
        <v/>
      </c>
      <c r="I495" s="20"/>
      <c r="J495" s="20"/>
    </row>
    <row r="496">
      <c r="B496" s="93"/>
      <c r="C496" s="114"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14"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88"/>
      <c r="F496" s="20"/>
      <c r="G496" s="159"/>
      <c r="H496" s="114" t="str">
        <f t="shared" si="1"/>
        <v/>
      </c>
      <c r="I496" s="20"/>
      <c r="J496" s="20"/>
    </row>
    <row r="497">
      <c r="B497" s="93"/>
      <c r="C497" s="114"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14"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88"/>
      <c r="F497" s="20"/>
      <c r="G497" s="159"/>
      <c r="H497" s="114" t="str">
        <f t="shared" si="1"/>
        <v/>
      </c>
      <c r="I497" s="20"/>
      <c r="J497" s="20"/>
    </row>
    <row r="498">
      <c r="B498" s="93"/>
      <c r="C498" s="114"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14"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88"/>
      <c r="F498" s="20"/>
      <c r="G498" s="159"/>
      <c r="H498" s="114" t="str">
        <f t="shared" si="1"/>
        <v/>
      </c>
      <c r="I498" s="20"/>
      <c r="J498" s="20"/>
    </row>
    <row r="499">
      <c r="B499" s="93"/>
      <c r="C499" s="114"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14"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88"/>
      <c r="F499" s="20"/>
      <c r="G499" s="159"/>
      <c r="H499" s="114" t="str">
        <f t="shared" si="1"/>
        <v/>
      </c>
      <c r="I499" s="20"/>
      <c r="J499" s="20"/>
    </row>
    <row r="500">
      <c r="B500" s="93"/>
      <c r="C500" s="114"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14"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88"/>
      <c r="F500" s="20"/>
      <c r="G500" s="159"/>
      <c r="H500" s="114" t="str">
        <f t="shared" si="1"/>
        <v/>
      </c>
      <c r="I500" s="20"/>
      <c r="J500" s="20"/>
    </row>
    <row r="501">
      <c r="B501" s="93"/>
      <c r="C501" s="114"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14"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88"/>
      <c r="F501" s="20"/>
      <c r="G501" s="159"/>
      <c r="H501" s="114" t="str">
        <f t="shared" si="1"/>
        <v/>
      </c>
      <c r="I501" s="20"/>
      <c r="J501" s="20"/>
    </row>
    <row r="502">
      <c r="B502" s="93"/>
      <c r="C502" s="114"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14"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88"/>
      <c r="F502" s="20"/>
      <c r="G502" s="159"/>
      <c r="H502" s="114" t="str">
        <f t="shared" si="1"/>
        <v/>
      </c>
      <c r="I502" s="20"/>
      <c r="J502" s="20"/>
    </row>
    <row r="503">
      <c r="B503" s="93"/>
      <c r="C503" s="114"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14"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88"/>
      <c r="F503" s="20"/>
      <c r="G503" s="159"/>
      <c r="H503" s="114" t="str">
        <f t="shared" si="1"/>
        <v/>
      </c>
      <c r="I503" s="20"/>
      <c r="J503" s="20"/>
    </row>
    <row r="504">
      <c r="B504" s="93"/>
      <c r="C504" s="114"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14"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88"/>
      <c r="F504" s="20"/>
      <c r="G504" s="159"/>
      <c r="H504" s="114" t="str">
        <f t="shared" si="1"/>
        <v/>
      </c>
      <c r="I504" s="20"/>
      <c r="J504" s="20"/>
    </row>
    <row r="505">
      <c r="B505" s="93"/>
      <c r="C505" s="114"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14"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88"/>
      <c r="F505" s="20"/>
      <c r="G505" s="159"/>
      <c r="H505" s="114" t="str">
        <f t="shared" si="1"/>
        <v/>
      </c>
      <c r="I505" s="20"/>
      <c r="J505" s="20"/>
    </row>
    <row r="506">
      <c r="B506" s="93"/>
      <c r="C506" s="114"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14"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88"/>
      <c r="F506" s="20"/>
      <c r="G506" s="159"/>
      <c r="H506" s="114" t="str">
        <f t="shared" si="1"/>
        <v/>
      </c>
      <c r="I506" s="20"/>
      <c r="J506" s="20"/>
    </row>
    <row r="507">
      <c r="B507" s="93"/>
      <c r="C507" s="114"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14"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88"/>
      <c r="F507" s="20"/>
      <c r="G507" s="159"/>
      <c r="H507" s="114" t="str">
        <f t="shared" si="1"/>
        <v/>
      </c>
      <c r="I507" s="20"/>
      <c r="J507" s="20"/>
    </row>
    <row r="508">
      <c r="B508" s="93"/>
      <c r="C508" s="114"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14"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88"/>
      <c r="F508" s="20"/>
      <c r="G508" s="159"/>
      <c r="H508" s="114" t="str">
        <f t="shared" si="1"/>
        <v/>
      </c>
      <c r="I508" s="20"/>
      <c r="J508" s="20"/>
    </row>
    <row r="509">
      <c r="B509" s="93"/>
      <c r="C509" s="114"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14"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88"/>
      <c r="F509" s="20"/>
      <c r="G509" s="159"/>
      <c r="H509" s="114" t="str">
        <f t="shared" si="1"/>
        <v/>
      </c>
      <c r="I509" s="20"/>
      <c r="J509" s="20"/>
    </row>
    <row r="510">
      <c r="B510" s="93"/>
      <c r="C510" s="114"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14"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88"/>
      <c r="F510" s="20"/>
      <c r="G510" s="159"/>
      <c r="H510" s="114" t="str">
        <f t="shared" si="1"/>
        <v/>
      </c>
      <c r="I510" s="20"/>
      <c r="J510" s="20"/>
    </row>
    <row r="511">
      <c r="B511" s="93"/>
      <c r="C511" s="114"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14"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88"/>
      <c r="F511" s="20"/>
      <c r="G511" s="159"/>
      <c r="H511" s="114" t="str">
        <f t="shared" si="1"/>
        <v/>
      </c>
      <c r="I511" s="20"/>
      <c r="J511" s="20"/>
    </row>
    <row r="512">
      <c r="B512" s="93"/>
      <c r="C512" s="114"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14"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88"/>
      <c r="F512" s="20"/>
      <c r="G512" s="159"/>
      <c r="H512" s="114" t="str">
        <f t="shared" si="1"/>
        <v/>
      </c>
      <c r="I512" s="20"/>
      <c r="J512" s="20"/>
    </row>
    <row r="513">
      <c r="B513" s="93"/>
      <c r="C513" s="114"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14"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88"/>
      <c r="F513" s="20"/>
      <c r="G513" s="159"/>
      <c r="H513" s="114" t="str">
        <f t="shared" si="1"/>
        <v/>
      </c>
      <c r="I513" s="20"/>
      <c r="J513" s="20"/>
    </row>
    <row r="514">
      <c r="B514" s="93"/>
      <c r="C514" s="114"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14"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88"/>
      <c r="F514" s="20"/>
      <c r="G514" s="159"/>
      <c r="H514" s="114" t="str">
        <f t="shared" si="1"/>
        <v/>
      </c>
      <c r="I514" s="20"/>
      <c r="J514" s="20"/>
    </row>
    <row r="515">
      <c r="B515" s="93"/>
      <c r="C515" s="114"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14"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88"/>
      <c r="F515" s="20"/>
      <c r="G515" s="159"/>
      <c r="H515" s="114" t="str">
        <f t="shared" si="1"/>
        <v/>
      </c>
      <c r="I515" s="20"/>
      <c r="J515" s="20"/>
    </row>
    <row r="516">
      <c r="B516" s="93"/>
      <c r="C516" s="114"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14"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88"/>
      <c r="F516" s="20"/>
      <c r="G516" s="159"/>
      <c r="H516" s="114" t="str">
        <f t="shared" si="1"/>
        <v/>
      </c>
      <c r="I516" s="20"/>
      <c r="J516" s="20"/>
    </row>
    <row r="517">
      <c r="B517" s="93"/>
      <c r="C517" s="114"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14"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88"/>
      <c r="F517" s="20"/>
      <c r="G517" s="159"/>
      <c r="H517" s="114" t="str">
        <f t="shared" si="1"/>
        <v/>
      </c>
      <c r="I517" s="20"/>
      <c r="J517" s="20"/>
    </row>
    <row r="518">
      <c r="B518" s="93"/>
      <c r="C518" s="114"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14"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88"/>
      <c r="F518" s="20"/>
      <c r="G518" s="159"/>
      <c r="H518" s="114" t="str">
        <f t="shared" si="1"/>
        <v/>
      </c>
      <c r="I518" s="20"/>
      <c r="J518" s="20"/>
    </row>
    <row r="519">
      <c r="B519" s="93"/>
      <c r="C519" s="114"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14"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88"/>
      <c r="F519" s="20"/>
      <c r="G519" s="159"/>
      <c r="H519" s="114" t="str">
        <f t="shared" si="1"/>
        <v/>
      </c>
      <c r="I519" s="20"/>
      <c r="J519" s="20"/>
    </row>
    <row r="520">
      <c r="B520" s="93"/>
      <c r="C520" s="114"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14"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88"/>
      <c r="F520" s="20"/>
      <c r="G520" s="159"/>
      <c r="H520" s="114" t="str">
        <f t="shared" si="1"/>
        <v/>
      </c>
      <c r="I520" s="20"/>
      <c r="J520" s="20"/>
    </row>
    <row r="521">
      <c r="B521" s="93"/>
      <c r="C521" s="114"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14"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88"/>
      <c r="F521" s="20"/>
      <c r="G521" s="159"/>
      <c r="H521" s="114" t="str">
        <f t="shared" si="1"/>
        <v/>
      </c>
      <c r="I521" s="20"/>
      <c r="J521" s="20"/>
    </row>
    <row r="522">
      <c r="B522" s="93"/>
      <c r="C522" s="114"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14"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88"/>
      <c r="F522" s="20"/>
      <c r="G522" s="159"/>
      <c r="H522" s="114" t="str">
        <f t="shared" si="1"/>
        <v/>
      </c>
      <c r="I522" s="20"/>
      <c r="J522" s="20"/>
    </row>
    <row r="523">
      <c r="B523" s="93"/>
      <c r="C523" s="114"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14"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88"/>
      <c r="F523" s="20"/>
      <c r="G523" s="159"/>
      <c r="H523" s="114" t="str">
        <f t="shared" si="1"/>
        <v/>
      </c>
      <c r="I523" s="20"/>
      <c r="J523" s="20"/>
    </row>
    <row r="524">
      <c r="B524" s="93"/>
      <c r="C524" s="114"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14"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88"/>
      <c r="F524" s="20"/>
      <c r="G524" s="159"/>
      <c r="H524" s="114" t="str">
        <f t="shared" si="1"/>
        <v/>
      </c>
      <c r="I524" s="20"/>
      <c r="J524" s="20"/>
    </row>
    <row r="525">
      <c r="B525" s="93"/>
      <c r="C525" s="114"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14"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88"/>
      <c r="F525" s="20"/>
      <c r="G525" s="159"/>
      <c r="H525" s="114" t="str">
        <f t="shared" si="1"/>
        <v/>
      </c>
      <c r="I525" s="20"/>
      <c r="J525" s="20"/>
    </row>
    <row r="526">
      <c r="B526" s="93"/>
      <c r="C526" s="114"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14"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88"/>
      <c r="F526" s="20"/>
      <c r="G526" s="159"/>
      <c r="H526" s="114" t="str">
        <f t="shared" si="1"/>
        <v/>
      </c>
      <c r="I526" s="20"/>
      <c r="J526" s="20"/>
    </row>
    <row r="527">
      <c r="B527" s="93"/>
      <c r="C527" s="114"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14"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88"/>
      <c r="F527" s="20"/>
      <c r="G527" s="159"/>
      <c r="H527" s="114" t="str">
        <f t="shared" si="1"/>
        <v/>
      </c>
      <c r="I527" s="20"/>
      <c r="J527" s="20"/>
    </row>
    <row r="528">
      <c r="B528" s="93"/>
      <c r="C528" s="114"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14"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88"/>
      <c r="F528" s="20"/>
      <c r="G528" s="159"/>
      <c r="H528" s="114" t="str">
        <f t="shared" si="1"/>
        <v/>
      </c>
      <c r="I528" s="20"/>
      <c r="J528" s="20"/>
    </row>
    <row r="529">
      <c r="B529" s="93"/>
      <c r="C529" s="114"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14"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88"/>
      <c r="F529" s="20"/>
      <c r="G529" s="159"/>
      <c r="H529" s="114" t="str">
        <f t="shared" si="1"/>
        <v/>
      </c>
      <c r="I529" s="20"/>
      <c r="J529" s="20"/>
    </row>
    <row r="530">
      <c r="B530" s="93"/>
      <c r="C530" s="114"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14"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88"/>
      <c r="F530" s="20"/>
      <c r="G530" s="159"/>
      <c r="H530" s="114" t="str">
        <f t="shared" si="1"/>
        <v/>
      </c>
      <c r="I530" s="20"/>
      <c r="J530" s="20"/>
    </row>
    <row r="531">
      <c r="B531" s="93"/>
      <c r="C531" s="114"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14"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88"/>
      <c r="F531" s="20"/>
      <c r="G531" s="159"/>
      <c r="H531" s="114" t="str">
        <f t="shared" si="1"/>
        <v/>
      </c>
      <c r="I531" s="20"/>
      <c r="J531" s="20"/>
    </row>
    <row r="532">
      <c r="B532" s="93"/>
      <c r="C532" s="114"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14"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88"/>
      <c r="F532" s="20"/>
      <c r="G532" s="159"/>
      <c r="H532" s="114" t="str">
        <f t="shared" si="1"/>
        <v/>
      </c>
      <c r="I532" s="20"/>
      <c r="J532" s="20"/>
    </row>
    <row r="533">
      <c r="B533" s="93"/>
      <c r="C533" s="114"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14"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88"/>
      <c r="F533" s="20"/>
      <c r="G533" s="159"/>
      <c r="H533" s="114" t="str">
        <f t="shared" si="1"/>
        <v/>
      </c>
      <c r="I533" s="20"/>
      <c r="J533" s="20"/>
    </row>
    <row r="534">
      <c r="B534" s="93"/>
      <c r="C534" s="114"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14"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88"/>
      <c r="F534" s="20"/>
      <c r="G534" s="159"/>
      <c r="H534" s="114" t="str">
        <f t="shared" si="1"/>
        <v/>
      </c>
      <c r="I534" s="20"/>
      <c r="J534" s="20"/>
    </row>
    <row r="535">
      <c r="B535" s="93"/>
      <c r="C535" s="114"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14"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88"/>
      <c r="F535" s="20"/>
      <c r="G535" s="159"/>
      <c r="H535" s="114" t="str">
        <f t="shared" si="1"/>
        <v/>
      </c>
      <c r="I535" s="20"/>
      <c r="J535" s="20"/>
    </row>
    <row r="536">
      <c r="B536" s="93"/>
      <c r="C536" s="114"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14"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88"/>
      <c r="F536" s="20"/>
      <c r="G536" s="159"/>
      <c r="H536" s="114" t="str">
        <f t="shared" si="1"/>
        <v/>
      </c>
      <c r="I536" s="20"/>
      <c r="J536" s="20"/>
    </row>
    <row r="537">
      <c r="B537" s="93"/>
      <c r="C537" s="114"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14"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88"/>
      <c r="F537" s="20"/>
      <c r="G537" s="159"/>
      <c r="H537" s="114" t="str">
        <f t="shared" si="1"/>
        <v/>
      </c>
      <c r="I537" s="20"/>
      <c r="J537" s="20"/>
    </row>
    <row r="538">
      <c r="B538" s="93"/>
      <c r="C538" s="114"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14"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88"/>
      <c r="F538" s="20"/>
      <c r="G538" s="159"/>
      <c r="H538" s="114" t="str">
        <f t="shared" si="1"/>
        <v/>
      </c>
      <c r="I538" s="20"/>
      <c r="J538" s="20"/>
    </row>
    <row r="539">
      <c r="B539" s="93"/>
      <c r="C539" s="114"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14"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88"/>
      <c r="F539" s="20"/>
      <c r="G539" s="159"/>
      <c r="H539" s="114" t="str">
        <f t="shared" si="1"/>
        <v/>
      </c>
      <c r="I539" s="20"/>
      <c r="J539" s="20"/>
    </row>
    <row r="540">
      <c r="B540" s="93"/>
      <c r="C540" s="114"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14"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88"/>
      <c r="F540" s="20"/>
      <c r="G540" s="159"/>
      <c r="H540" s="114" t="str">
        <f t="shared" si="1"/>
        <v/>
      </c>
      <c r="I540" s="20"/>
      <c r="J540" s="20"/>
    </row>
    <row r="541">
      <c r="B541" s="93"/>
      <c r="C541" s="114"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14"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88"/>
      <c r="F541" s="20"/>
      <c r="G541" s="159"/>
      <c r="H541" s="114" t="str">
        <f t="shared" si="1"/>
        <v/>
      </c>
      <c r="I541" s="20"/>
      <c r="J541" s="20"/>
    </row>
    <row r="542">
      <c r="B542" s="93"/>
      <c r="C542" s="114"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14"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88"/>
      <c r="F542" s="20"/>
      <c r="G542" s="159"/>
      <c r="H542" s="114" t="str">
        <f t="shared" si="1"/>
        <v/>
      </c>
      <c r="I542" s="20"/>
      <c r="J542" s="20"/>
    </row>
    <row r="543">
      <c r="B543" s="93"/>
      <c r="C543" s="114"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14"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88"/>
      <c r="F543" s="20"/>
      <c r="G543" s="159"/>
      <c r="H543" s="114" t="str">
        <f t="shared" si="1"/>
        <v/>
      </c>
      <c r="I543" s="20"/>
      <c r="J543" s="20"/>
    </row>
    <row r="544">
      <c r="B544" s="93"/>
      <c r="C544" s="114"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14"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88"/>
      <c r="F544" s="20"/>
      <c r="G544" s="159"/>
      <c r="H544" s="114" t="str">
        <f t="shared" si="1"/>
        <v/>
      </c>
      <c r="I544" s="20"/>
      <c r="J544" s="20"/>
    </row>
    <row r="545">
      <c r="B545" s="93"/>
      <c r="C545" s="114"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14"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88"/>
      <c r="F545" s="20"/>
      <c r="G545" s="159"/>
      <c r="H545" s="114" t="str">
        <f t="shared" si="1"/>
        <v/>
      </c>
      <c r="I545" s="20"/>
      <c r="J545" s="20"/>
    </row>
    <row r="546">
      <c r="B546" s="93"/>
      <c r="C546" s="114"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14"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88"/>
      <c r="F546" s="20"/>
      <c r="G546" s="159"/>
      <c r="H546" s="114" t="str">
        <f t="shared" si="1"/>
        <v/>
      </c>
      <c r="I546" s="20"/>
      <c r="J546" s="20"/>
    </row>
    <row r="547">
      <c r="B547" s="93"/>
      <c r="C547" s="114"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14"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88"/>
      <c r="F547" s="20"/>
      <c r="G547" s="159"/>
      <c r="H547" s="114" t="str">
        <f t="shared" si="1"/>
        <v/>
      </c>
      <c r="I547" s="20"/>
      <c r="J547" s="20"/>
    </row>
  </sheetData>
  <mergeCells count="1">
    <mergeCell ref="C4:D4"/>
  </mergeCells>
  <conditionalFormatting sqref="E7:E8">
    <cfRule type="expression" dxfId="3" priority="1">
      <formula>countif(F:F,E7)&gt;0</formula>
    </cfRule>
  </conditionalFormatting>
  <conditionalFormatting sqref="A5:A8">
    <cfRule type="expression" dxfId="3" priority="2">
      <formula>and(countif(A:A,A5)&gt;countif(C:C,C5),C5&lt;&gt;"")</formula>
    </cfRule>
  </conditionalFormatting>
  <conditionalFormatting sqref="A5:A8">
    <cfRule type="expression" dxfId="3" priority="3">
      <formula>or(and(#REF!&lt;&gt;"",A5&lt;&gt;"",#REF!=#REF!,A5=A7),and(#REF!&lt;&gt;"",#REF!&lt;&gt;"",#REF!=#REF!,A5=#REF!))</formula>
    </cfRule>
  </conditionalFormatting>
  <conditionalFormatting sqref="A5:A8">
    <cfRule type="expression" dxfId="3" priority="4">
      <formula>"=COUNTIFS(A:A, A5, F:F, "Primary - Top") &gt; 1'"</formula>
    </cfRule>
  </conditionalFormatting>
  <conditionalFormatting sqref="A1:B1">
    <cfRule type="cellIs" dxfId="3" priority="5" operator="notEqual">
      <formula>0</formula>
    </cfRule>
  </conditionalFormatting>
  <conditionalFormatting sqref="H5:H547">
    <cfRule type="cellIs" dxfId="1" priority="6" operator="equal">
      <formula>1</formula>
    </cfRule>
  </conditionalFormatting>
  <conditionalFormatting sqref="H5:H547">
    <cfRule type="cellIs" dxfId="6" priority="7" operator="greaterThan">
      <formula>1</formula>
    </cfRule>
  </conditionalFormatting>
  <conditionalFormatting sqref="H5:H547">
    <cfRule type="expression" dxfId="2" priority="8">
      <formula>or(and(H5&lt;1,H7&lt;&gt;"",C5&lt;&gt;C7),and(H5&lt;1,H7&lt;&gt;"",D5&lt;&gt;D7))</formula>
    </cfRule>
  </conditionalFormatting>
  <conditionalFormatting sqref="J5:J547">
    <cfRule type="expression" dxfId="7" priority="9">
      <formula>and(I5="Published (managed by a publisher)",J5="")</formula>
    </cfRule>
  </conditionalFormatting>
  <conditionalFormatting sqref="J5:J547">
    <cfRule type="expression" dxfId="8" priority="10">
      <formula>and(I5&lt;&gt;"Published (managed by a publisher)",J5&lt;&gt;"")</formula>
    </cfRule>
  </conditionalFormatting>
  <conditionalFormatting sqref="E5:E547">
    <cfRule type="expression" dxfId="0" priority="11">
      <formula>or(and(or(not(isblank(A5)),not(isblank(B5))),isblank(E5)),and(not(isblank(E5)),iserror(match(E5,indirect("'7) Comp Contributor/Publisher lists'!a:a"),0))))</formula>
    </cfRule>
  </conditionalFormatting>
  <conditionalFormatting sqref="I5:I547">
    <cfRule type="expression" dxfId="0" priority="12">
      <formula>or(and(isblank(I5),or(not(isblank(A5)),not(isblank(B5)))),and(not(isblank(I5)),iserror(match(I5,indirect("'Reference info'!o:o"),0))))</formula>
    </cfRule>
  </conditionalFormatting>
  <conditionalFormatting sqref="J5:J547">
    <cfRule type="expression" dxfId="0" priority="13">
      <formula>and(not(isblank(J5)),iserror(match(J5,indirect("'7) Comp Contributor/Publisher lists'!D:D"),0)))</formula>
    </cfRule>
  </conditionalFormatting>
  <conditionalFormatting sqref="G1">
    <cfRule type="cellIs" dxfId="3" priority="14" operator="notEqual">
      <formula>0</formula>
    </cfRule>
  </conditionalFormatting>
  <conditionalFormatting sqref="A5:A547">
    <cfRule type="expression" dxfId="5" priority="15">
      <formula>and(A5&lt;&gt;"",B5&lt;&gt;"",countif(A:A,A5)&lt;&gt;countif(B:B,B5))</formula>
    </cfRule>
  </conditionalFormatting>
  <conditionalFormatting sqref="B5:B547">
    <cfRule type="expression" dxfId="5" priority="16">
      <formula>and(A5&lt;&gt;"",B5&lt;&gt;"",countif(A:A,A5)&lt;&gt;countif(B:B,B5))</formula>
    </cfRule>
  </conditionalFormatting>
  <conditionalFormatting sqref="F5:F547">
    <cfRule type="expression" dxfId="0" priority="17">
      <formula>and(not(isblank(F5)),iserror(match(F5,indirect("'Reference info'!q:q"),0)))</formula>
    </cfRule>
  </conditionalFormatting>
  <dataValidations>
    <dataValidation type="list" allowBlank="1" showInputMessage="1" showErrorMessage="1" prompt="select from Comp Contributor list, start typing or drag" sqref="E5:E547">
      <formula1>CompContributor</formula1>
    </dataValidation>
    <dataValidation type="list" allowBlank="1" showInputMessage="1" showErrorMessage="1" prompt="select from list, start typing or drag" sqref="F5:F547">
      <formula1>CompositionRole</formula1>
    </dataValidation>
    <dataValidation type="custom" allowBlank="1" showDropDown="1" showInputMessage="1" showErrorMessage="1" prompt="must contain 2 letters, 3 character minimum, 20 character maximum, alphanumeric ONLY (letter or number; no dashes, spaces, punctuation marks, etc.)" sqref="B5:B547">
      <formula1>and(regexmatch(B5,"^[a-zA-Z0-9]*$"), len(B5)&gt;=3, len(B5)&lt;=20)</formula1>
    </dataValidation>
    <dataValidation type="custom" allowBlank="1" showDropDown="1" showInputMessage="1" showErrorMessage="1" prompt="Only positive numeric values up to 100%: max 2 decimals in Percent format, e.g. 33.34%; or max 4 decimals in Number format, e.g. 0.3334;" sqref="G5:G547">
      <formula1>and(INT(G5*10000)=G5*10000,G5&gt;0,G5&lt;=1)</formula1>
    </dataValidation>
    <dataValidation type="list" allowBlank="1" showInputMessage="1" showErrorMessage="1" prompt="Click and enter a value frselect from list, start typing or dragom range" sqref="I5:I547">
      <formula1>Publishing</formula1>
    </dataValidation>
    <dataValidation type="list" allowBlank="1" showInputMessage="1" showErrorMessage="1" prompt="Fill out ONLY when 'Published (managed by a publisher)' selected for Publishing; select from Publisher list, start typing or drag" sqref="J5:J547">
      <formula1>Publisher</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5.5"/>
    <col customWidth="1" min="3" max="3" width="28.75"/>
    <col customWidth="1" min="4" max="4" width="14.5"/>
    <col customWidth="1" min="5" max="5" width="10.75"/>
    <col customWidth="1" min="6" max="6" width="10.63"/>
    <col customWidth="1" min="7" max="7" width="12.5"/>
    <col customWidth="1" min="8" max="8" width="10.88"/>
    <col customWidth="1" min="9" max="9" width="8.25"/>
    <col customWidth="1" min="10" max="10" width="12.75"/>
    <col customWidth="1" min="11" max="11" width="9.5"/>
    <col customWidth="1" min="12" max="12" width="6.25"/>
    <col customWidth="1" min="13" max="13" width="26.63"/>
    <col customWidth="1" min="14" max="14" width="21.88"/>
    <col customWidth="1" min="15" max="15" width="8.38"/>
    <col customWidth="1" min="16" max="16" width="16.0"/>
    <col customWidth="1" min="17" max="17" width="12.13"/>
    <col customWidth="1" min="18" max="18" width="12.75"/>
    <col customWidth="1" min="19" max="19" width="9.75"/>
    <col customWidth="1" min="20" max="20" width="8.0"/>
    <col customWidth="1" min="21" max="21" width="9.5"/>
    <col customWidth="1" min="22" max="22" width="9.0"/>
    <col customWidth="1" min="23" max="23" width="12.5"/>
    <col customWidth="1" min="24" max="24" width="4.38"/>
    <col customWidth="1" min="25" max="25" width="8.38"/>
    <col customWidth="1" min="26" max="26" width="6.75"/>
    <col customWidth="1" min="30" max="30" width="11.0"/>
  </cols>
  <sheetData>
    <row r="1">
      <c r="A1" s="13">
        <f>IFERROR(__xludf.DUMMYFUNCTION("COUNTUNIQUE(A5:A711)-'5) Release_Track'!F1"),0.0)</f>
        <v>0</v>
      </c>
      <c r="B1" s="13">
        <f>IFERROR(__xludf.DUMMYFUNCTION("COUNTUNIQUE(B5:B711)-'5) Release_Track'!G1"),0.0)</f>
        <v>0</v>
      </c>
      <c r="C1" s="95" t="s">
        <v>94</v>
      </c>
      <c r="D1" s="96"/>
      <c r="E1" s="150" t="s">
        <v>29</v>
      </c>
      <c r="F1" s="151"/>
      <c r="G1" s="151"/>
      <c r="H1" s="160" t="s">
        <v>27</v>
      </c>
      <c r="I1" s="22"/>
      <c r="J1" s="22"/>
      <c r="K1" s="22"/>
      <c r="L1" s="22"/>
      <c r="N1" s="134"/>
    </row>
    <row r="2">
      <c r="A2" s="101" t="s">
        <v>169</v>
      </c>
      <c r="B2" s="102"/>
      <c r="C2" s="135"/>
      <c r="D2" s="135"/>
      <c r="E2" s="135"/>
      <c r="F2" s="135"/>
      <c r="G2" s="135"/>
      <c r="H2" s="135"/>
      <c r="I2" s="135"/>
      <c r="J2" s="135"/>
      <c r="K2" s="135"/>
      <c r="L2" s="135"/>
    </row>
    <row r="3">
      <c r="A3" s="118" t="s">
        <v>110</v>
      </c>
      <c r="B3" s="69" t="s">
        <v>111</v>
      </c>
      <c r="C3" s="137" t="s">
        <v>112</v>
      </c>
      <c r="D3" s="137" t="s">
        <v>113</v>
      </c>
      <c r="E3" s="104"/>
      <c r="F3" s="104"/>
      <c r="G3" s="161" t="s">
        <v>170</v>
      </c>
      <c r="H3" s="104"/>
      <c r="I3" s="104"/>
      <c r="J3" s="104"/>
      <c r="K3" s="104"/>
      <c r="L3" s="104"/>
    </row>
    <row r="4">
      <c r="A4" s="78" t="s">
        <v>140</v>
      </c>
      <c r="B4" s="139" t="s">
        <v>140</v>
      </c>
      <c r="C4" s="106" t="s">
        <v>141</v>
      </c>
      <c r="E4" s="124" t="s">
        <v>171</v>
      </c>
      <c r="F4" s="35" t="s">
        <v>172</v>
      </c>
      <c r="G4" s="35" t="s">
        <v>173</v>
      </c>
      <c r="H4" s="124" t="s">
        <v>174</v>
      </c>
      <c r="I4" s="124" t="s">
        <v>175</v>
      </c>
      <c r="J4" s="124" t="s">
        <v>176</v>
      </c>
      <c r="K4" s="124" t="s">
        <v>177</v>
      </c>
      <c r="L4" s="124" t="s">
        <v>178</v>
      </c>
      <c r="M4" s="109"/>
    </row>
    <row r="5">
      <c r="A5" s="8" t="s">
        <v>130</v>
      </c>
      <c r="B5" s="93"/>
      <c r="C5" s="114" t="str">
        <f t="array" ref="C5">ifs(and(isblank($A5),isblank($B5)),"", not(iserror(vlookup($A5&amp;$B5,'5) Release_Track'!$F:$F&amp;'5) Release_Track'!$G:$G,1,0))),vlookup($A5&amp;$B5,{'5) Release_Track'!$F:$F&amp;'5) Release_Track'!$G:$G,'5) Release_Track'!$H:$H},2,0),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Receba</v>
      </c>
      <c r="D5" s="114" t="str">
        <f t="array" ref="D5">ifs(and(isblank($A5),isblank($B5)),"", not(iserror(vlookup($A5&amp;$B5,'5) Release_Track'!$F:$F&amp;'5) Release_Track'!$G:$G,1,0))),vlookup($A5&amp;$B5,{'5) Release_Track'!$F:$F&amp;'5) Release_Track'!$G:$G,'5) Release_Track'!$I:$I},2,0),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Extended</v>
      </c>
      <c r="E5" s="130" t="b">
        <v>0</v>
      </c>
      <c r="F5" s="130" t="b">
        <v>0</v>
      </c>
      <c r="G5" s="130" t="b">
        <v>0</v>
      </c>
      <c r="H5" s="130" t="b">
        <v>0</v>
      </c>
      <c r="I5" s="130" t="b">
        <v>0</v>
      </c>
      <c r="J5" s="130" t="b">
        <v>0</v>
      </c>
      <c r="K5" s="130" t="b">
        <v>0</v>
      </c>
      <c r="L5" s="8" t="b">
        <v>1</v>
      </c>
      <c r="M5" s="20" t="str">
        <f t="array" ref="M5:M617">sort(if(countif($A$5:$A711&amp;$B$5:$B711,'5) Release_Track'!$F$5:$F711&amp;'5) Release_Track'!$G$5:$G711)=0,'5) Release_Track'!$F$5:$F711&amp;" "&amp;'5) Release_Track'!$G$5:$G711,))</f>
        <v/>
      </c>
    </row>
    <row r="6">
      <c r="A6" s="8" t="s">
        <v>135</v>
      </c>
      <c r="B6" s="93"/>
      <c r="C6" s="114" t="str">
        <f t="array" ref="C6">ifs(and(isblank($A6),isblank($B6)),"", not(iserror(vlookup($A6&amp;$B6,'5) Release_Track'!$F:$F&amp;'5) Release_Track'!$G:$G,1,0))),vlookup($A6&amp;$B6,{'5) Release_Track'!$F:$F&amp;'5) Release_Track'!$G:$G,'5) Release_Track'!$H:$H},2,0),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A Cláusula do Contrato</v>
      </c>
      <c r="D6" s="114" t="str">
        <f t="array" ref="D6">ifs(and(isblank($A6),isblank($B6)),"", not(iserror(vlookup($A6&amp;$B6,'5) Release_Track'!$F:$F&amp;'5) Release_Track'!$G:$G,1,0))),vlookup($A6&amp;$B6,{'5) Release_Track'!$F:$F&amp;'5) Release_Track'!$G:$G,'5) Release_Track'!$I:$I},2,0),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
      </c>
      <c r="E6" s="130" t="b">
        <v>0</v>
      </c>
      <c r="F6" s="130" t="b">
        <v>0</v>
      </c>
      <c r="G6" s="130" t="b">
        <v>0</v>
      </c>
      <c r="H6" s="130" t="b">
        <v>0</v>
      </c>
      <c r="I6" s="130" t="b">
        <v>0</v>
      </c>
      <c r="J6" s="130" t="b">
        <v>0</v>
      </c>
      <c r="K6" s="130" t="b">
        <v>0</v>
      </c>
      <c r="L6" s="8" t="b">
        <v>1</v>
      </c>
      <c r="M6" s="20"/>
    </row>
    <row r="7">
      <c r="M7" s="20"/>
    </row>
    <row r="8">
      <c r="M8" s="20"/>
    </row>
    <row r="9">
      <c r="M9" s="20"/>
    </row>
    <row r="10">
      <c r="M10" s="20"/>
    </row>
    <row r="11">
      <c r="M11" s="20"/>
    </row>
    <row r="12">
      <c r="M12" s="20"/>
    </row>
    <row r="13">
      <c r="M13" s="20"/>
    </row>
    <row r="14">
      <c r="M14" s="20"/>
    </row>
    <row r="15">
      <c r="M15" s="20"/>
    </row>
    <row r="16">
      <c r="M16" s="20"/>
    </row>
    <row r="17">
      <c r="M17" s="20"/>
    </row>
    <row r="18">
      <c r="M18" s="20"/>
    </row>
    <row r="19">
      <c r="M19" s="20"/>
    </row>
    <row r="20">
      <c r="M20" s="20"/>
    </row>
    <row r="21">
      <c r="M21" s="20"/>
    </row>
    <row r="22">
      <c r="M22" s="20"/>
    </row>
    <row r="23">
      <c r="M23" s="20"/>
    </row>
    <row r="24">
      <c r="M24" s="20"/>
    </row>
    <row r="25">
      <c r="M25" s="20"/>
    </row>
    <row r="26">
      <c r="M26" s="20"/>
    </row>
    <row r="27">
      <c r="M27" s="20"/>
    </row>
    <row r="28">
      <c r="M28" s="20"/>
    </row>
    <row r="29">
      <c r="M29" s="20"/>
    </row>
    <row r="30">
      <c r="M30" s="20"/>
    </row>
    <row r="31">
      <c r="M31" s="20"/>
    </row>
    <row r="32">
      <c r="M32" s="20"/>
    </row>
    <row r="33">
      <c r="M33" s="20"/>
    </row>
    <row r="34">
      <c r="M34" s="20"/>
    </row>
    <row r="35">
      <c r="M35" s="20"/>
    </row>
    <row r="36">
      <c r="M36" s="20"/>
    </row>
    <row r="37">
      <c r="M37" s="20"/>
    </row>
    <row r="38">
      <c r="M38" s="20"/>
    </row>
    <row r="39">
      <c r="M39" s="20"/>
    </row>
    <row r="40">
      <c r="M40" s="20"/>
    </row>
    <row r="41">
      <c r="M41" s="20"/>
    </row>
    <row r="42">
      <c r="M42" s="20"/>
    </row>
    <row r="43">
      <c r="M43" s="20"/>
    </row>
    <row r="44">
      <c r="M44" s="20"/>
    </row>
    <row r="45">
      <c r="M45" s="20"/>
    </row>
    <row r="46">
      <c r="M46" s="20"/>
    </row>
    <row r="47">
      <c r="M47" s="20"/>
    </row>
    <row r="48">
      <c r="M48" s="20"/>
    </row>
    <row r="49">
      <c r="M49" s="20"/>
    </row>
    <row r="50">
      <c r="M50" s="20"/>
    </row>
    <row r="51">
      <c r="M51" s="20"/>
    </row>
    <row r="52">
      <c r="M52" s="20"/>
    </row>
    <row r="53">
      <c r="M53" s="20"/>
    </row>
    <row r="54">
      <c r="M54" s="20"/>
    </row>
    <row r="55">
      <c r="M55" s="20"/>
    </row>
    <row r="56">
      <c r="M56" s="20"/>
    </row>
    <row r="57">
      <c r="M57" s="20"/>
    </row>
    <row r="58">
      <c r="M58" s="20"/>
    </row>
    <row r="59">
      <c r="M59" s="20"/>
    </row>
    <row r="60">
      <c r="M60" s="20"/>
    </row>
    <row r="61">
      <c r="M61" s="20"/>
    </row>
    <row r="62">
      <c r="M62" s="20"/>
    </row>
    <row r="63">
      <c r="M63" s="20"/>
    </row>
    <row r="64">
      <c r="M64" s="20"/>
    </row>
    <row r="65">
      <c r="M65" s="20"/>
    </row>
    <row r="66">
      <c r="M66" s="20"/>
    </row>
    <row r="67">
      <c r="M67" s="20"/>
    </row>
    <row r="68">
      <c r="M68" s="20"/>
    </row>
    <row r="69">
      <c r="M69" s="20"/>
    </row>
    <row r="70">
      <c r="M70" s="20"/>
    </row>
    <row r="71">
      <c r="M71" s="20"/>
    </row>
    <row r="72">
      <c r="M72" s="20"/>
    </row>
    <row r="73">
      <c r="M73" s="20"/>
    </row>
    <row r="74">
      <c r="M74" s="20"/>
    </row>
    <row r="75">
      <c r="M75" s="20"/>
    </row>
    <row r="76">
      <c r="M76" s="20"/>
    </row>
    <row r="77">
      <c r="M77" s="20"/>
    </row>
    <row r="78">
      <c r="M78" s="20"/>
    </row>
    <row r="79">
      <c r="M79" s="20"/>
    </row>
    <row r="80">
      <c r="M80" s="20"/>
    </row>
    <row r="81">
      <c r="M81" s="20"/>
    </row>
    <row r="82">
      <c r="M82" s="20"/>
    </row>
    <row r="83">
      <c r="M83" s="20"/>
    </row>
    <row r="84">
      <c r="M84" s="20"/>
    </row>
    <row r="85">
      <c r="M85" s="20"/>
    </row>
    <row r="86">
      <c r="M86" s="20"/>
    </row>
    <row r="87">
      <c r="M87" s="20"/>
    </row>
    <row r="88">
      <c r="M88" s="20"/>
    </row>
    <row r="89">
      <c r="M89" s="20"/>
    </row>
    <row r="90">
      <c r="M90" s="20"/>
    </row>
    <row r="91">
      <c r="M91" s="20"/>
    </row>
    <row r="92">
      <c r="M92" s="20"/>
    </row>
    <row r="93">
      <c r="M93" s="20"/>
    </row>
    <row r="94">
      <c r="M94" s="20"/>
    </row>
    <row r="95">
      <c r="M95" s="20"/>
    </row>
    <row r="96">
      <c r="M96" s="20"/>
    </row>
    <row r="97">
      <c r="M97" s="20"/>
    </row>
    <row r="98">
      <c r="M98" s="20"/>
    </row>
    <row r="99">
      <c r="M99" s="20"/>
    </row>
    <row r="100">
      <c r="M100" s="20"/>
    </row>
    <row r="101">
      <c r="M101" s="20"/>
    </row>
    <row r="102">
      <c r="M102" s="20"/>
    </row>
    <row r="103">
      <c r="M103" s="20"/>
    </row>
    <row r="104">
      <c r="M104" s="20"/>
    </row>
    <row r="105">
      <c r="M105" s="20"/>
    </row>
    <row r="106">
      <c r="M106" s="20"/>
    </row>
    <row r="107">
      <c r="M107" s="20"/>
    </row>
    <row r="108">
      <c r="M108" s="20"/>
    </row>
    <row r="109">
      <c r="M109" s="20"/>
    </row>
    <row r="110">
      <c r="M110" s="20"/>
    </row>
    <row r="111">
      <c r="M111" s="20"/>
    </row>
    <row r="112">
      <c r="M112" s="20"/>
    </row>
    <row r="113">
      <c r="M113" s="20"/>
    </row>
    <row r="114">
      <c r="M114" s="20"/>
    </row>
    <row r="115">
      <c r="M115" s="20"/>
    </row>
    <row r="116">
      <c r="M116" s="20"/>
    </row>
    <row r="117">
      <c r="M117" s="20"/>
    </row>
    <row r="118">
      <c r="M118" s="20"/>
    </row>
    <row r="119">
      <c r="M119" s="20"/>
    </row>
    <row r="120">
      <c r="M120" s="20"/>
    </row>
    <row r="121">
      <c r="M121" s="20"/>
    </row>
    <row r="122">
      <c r="M122" s="20"/>
    </row>
    <row r="123">
      <c r="M123" s="20"/>
    </row>
    <row r="124">
      <c r="M124" s="20"/>
    </row>
    <row r="125">
      <c r="M125" s="20"/>
    </row>
    <row r="126">
      <c r="M126" s="20"/>
    </row>
    <row r="127">
      <c r="M127" s="20"/>
    </row>
    <row r="128">
      <c r="M128" s="20"/>
    </row>
    <row r="129">
      <c r="M129" s="20"/>
    </row>
    <row r="130">
      <c r="M130" s="20"/>
    </row>
    <row r="131">
      <c r="M131" s="20"/>
    </row>
    <row r="132">
      <c r="M132" s="20"/>
    </row>
    <row r="133">
      <c r="M133" s="20"/>
    </row>
    <row r="134">
      <c r="M134" s="20"/>
    </row>
    <row r="135">
      <c r="M135" s="20"/>
    </row>
    <row r="136">
      <c r="M136" s="20"/>
    </row>
    <row r="137">
      <c r="M137" s="20"/>
    </row>
    <row r="138">
      <c r="M138" s="20"/>
    </row>
    <row r="139">
      <c r="M139" s="20"/>
    </row>
    <row r="140">
      <c r="M140" s="20"/>
    </row>
    <row r="141">
      <c r="M141" s="20"/>
    </row>
    <row r="142">
      <c r="M142" s="20"/>
    </row>
    <row r="143">
      <c r="M143" s="20"/>
    </row>
    <row r="144">
      <c r="M144" s="20"/>
    </row>
    <row r="145">
      <c r="M145" s="20"/>
    </row>
    <row r="146">
      <c r="M146" s="20"/>
    </row>
    <row r="147">
      <c r="M147" s="20"/>
    </row>
    <row r="148">
      <c r="M148" s="20"/>
    </row>
    <row r="149">
      <c r="M149" s="20"/>
    </row>
    <row r="150">
      <c r="M150" s="20"/>
    </row>
    <row r="151">
      <c r="M151" s="20"/>
    </row>
    <row r="152">
      <c r="M152" s="20"/>
    </row>
    <row r="153">
      <c r="M153" s="20"/>
    </row>
    <row r="154">
      <c r="M154" s="20"/>
    </row>
    <row r="155">
      <c r="M155" s="20"/>
    </row>
    <row r="156">
      <c r="M156" s="20"/>
    </row>
    <row r="157">
      <c r="M157" s="20"/>
    </row>
    <row r="158">
      <c r="M158" s="20"/>
    </row>
    <row r="159">
      <c r="M159" s="20"/>
    </row>
    <row r="160">
      <c r="M160" s="20"/>
    </row>
    <row r="161">
      <c r="M161" s="20"/>
    </row>
    <row r="162">
      <c r="M162" s="20"/>
    </row>
    <row r="163">
      <c r="M163" s="20"/>
    </row>
    <row r="164">
      <c r="M164" s="20"/>
    </row>
    <row r="165">
      <c r="M165" s="20"/>
    </row>
    <row r="166">
      <c r="M166" s="20"/>
    </row>
    <row r="167">
      <c r="M167" s="20"/>
    </row>
    <row r="168">
      <c r="M168" s="20"/>
    </row>
    <row r="169">
      <c r="M169" s="20"/>
    </row>
    <row r="170">
      <c r="M170" s="20"/>
    </row>
    <row r="171">
      <c r="M171" s="20"/>
    </row>
    <row r="172">
      <c r="M172" s="20"/>
    </row>
    <row r="173">
      <c r="M173" s="20"/>
    </row>
    <row r="174">
      <c r="M174" s="20"/>
    </row>
    <row r="175">
      <c r="M175" s="20"/>
    </row>
    <row r="176">
      <c r="M176" s="20"/>
    </row>
    <row r="177">
      <c r="M177" s="20"/>
    </row>
    <row r="178">
      <c r="M178" s="20"/>
    </row>
    <row r="179">
      <c r="M179" s="20"/>
    </row>
    <row r="180">
      <c r="M180" s="20"/>
    </row>
    <row r="181">
      <c r="M181" s="20"/>
    </row>
    <row r="182">
      <c r="M182" s="20"/>
    </row>
    <row r="183">
      <c r="M183" s="20"/>
    </row>
    <row r="184">
      <c r="M184" s="20"/>
    </row>
    <row r="185">
      <c r="M185" s="20"/>
    </row>
    <row r="186">
      <c r="M186" s="20"/>
    </row>
    <row r="187">
      <c r="M187" s="20"/>
    </row>
    <row r="188">
      <c r="M188" s="20"/>
    </row>
    <row r="189">
      <c r="M189" s="20"/>
    </row>
    <row r="190">
      <c r="M190" s="20"/>
    </row>
    <row r="191">
      <c r="M191" s="20"/>
    </row>
    <row r="192">
      <c r="M192" s="20"/>
    </row>
    <row r="193">
      <c r="M193" s="20"/>
    </row>
    <row r="194">
      <c r="M194" s="20"/>
    </row>
    <row r="195">
      <c r="M195" s="20"/>
    </row>
    <row r="196">
      <c r="M196" s="20"/>
    </row>
    <row r="197">
      <c r="M197" s="20"/>
    </row>
    <row r="198">
      <c r="M198" s="20"/>
    </row>
    <row r="199">
      <c r="M199" s="20"/>
    </row>
    <row r="200">
      <c r="M200" s="20"/>
    </row>
    <row r="201">
      <c r="M201" s="20"/>
    </row>
    <row r="202">
      <c r="M202" s="20"/>
    </row>
    <row r="203">
      <c r="M203" s="20"/>
    </row>
    <row r="204">
      <c r="M204" s="20"/>
    </row>
    <row r="205">
      <c r="M205" s="20"/>
    </row>
    <row r="206">
      <c r="M206" s="20"/>
    </row>
    <row r="207">
      <c r="M207" s="20"/>
    </row>
    <row r="208">
      <c r="M208" s="20"/>
    </row>
    <row r="209">
      <c r="M209" s="20"/>
    </row>
    <row r="210">
      <c r="M210" s="20"/>
    </row>
    <row r="211">
      <c r="M211" s="20"/>
    </row>
    <row r="212">
      <c r="M212" s="20"/>
    </row>
    <row r="213">
      <c r="M213" s="20"/>
    </row>
    <row r="214">
      <c r="M214" s="20"/>
    </row>
    <row r="215">
      <c r="M215" s="20"/>
    </row>
    <row r="216">
      <c r="M216" s="20"/>
    </row>
    <row r="217">
      <c r="M217" s="20"/>
    </row>
    <row r="218">
      <c r="M218" s="20"/>
    </row>
    <row r="219">
      <c r="M219" s="20"/>
    </row>
    <row r="220">
      <c r="M220" s="20"/>
    </row>
    <row r="221">
      <c r="M221" s="20"/>
    </row>
    <row r="222">
      <c r="M222" s="20"/>
    </row>
    <row r="223">
      <c r="M223" s="20"/>
    </row>
    <row r="224">
      <c r="M224" s="20"/>
    </row>
    <row r="225">
      <c r="M225" s="20"/>
    </row>
    <row r="226">
      <c r="M226" s="20"/>
    </row>
    <row r="227">
      <c r="M227" s="20"/>
    </row>
    <row r="228">
      <c r="M228" s="20"/>
    </row>
    <row r="229">
      <c r="M229" s="20"/>
    </row>
    <row r="230">
      <c r="M230" s="20"/>
    </row>
    <row r="231">
      <c r="M231" s="20"/>
    </row>
    <row r="232">
      <c r="M232" s="20"/>
    </row>
    <row r="233">
      <c r="M233" s="20"/>
    </row>
    <row r="234">
      <c r="M234" s="20"/>
    </row>
    <row r="235">
      <c r="M235" s="20"/>
    </row>
    <row r="236">
      <c r="M236" s="20"/>
    </row>
    <row r="237">
      <c r="M237" s="20"/>
    </row>
    <row r="238">
      <c r="M238" s="20"/>
    </row>
    <row r="239">
      <c r="M239" s="20"/>
    </row>
    <row r="240">
      <c r="M240" s="20"/>
    </row>
    <row r="241">
      <c r="M241" s="20"/>
    </row>
    <row r="242">
      <c r="M242" s="20"/>
    </row>
    <row r="243">
      <c r="M243" s="20"/>
    </row>
    <row r="244">
      <c r="M244" s="20"/>
    </row>
    <row r="245">
      <c r="M245" s="20"/>
    </row>
    <row r="246">
      <c r="M246" s="20"/>
    </row>
    <row r="247">
      <c r="M247" s="20"/>
    </row>
    <row r="248">
      <c r="M248" s="20"/>
    </row>
    <row r="249">
      <c r="M249" s="20"/>
    </row>
    <row r="250">
      <c r="M250" s="20"/>
    </row>
    <row r="251">
      <c r="M251" s="20"/>
    </row>
    <row r="252">
      <c r="M252" s="20"/>
    </row>
    <row r="253">
      <c r="M253" s="20"/>
    </row>
    <row r="254">
      <c r="M254" s="20"/>
    </row>
    <row r="255">
      <c r="M255" s="20"/>
    </row>
    <row r="256">
      <c r="M256" s="20"/>
    </row>
    <row r="257">
      <c r="M257" s="20"/>
    </row>
    <row r="258">
      <c r="M258" s="20"/>
    </row>
    <row r="259">
      <c r="M259" s="20"/>
    </row>
    <row r="260">
      <c r="M260" s="20"/>
    </row>
    <row r="261">
      <c r="M261" s="20"/>
    </row>
    <row r="262">
      <c r="M262" s="20"/>
    </row>
    <row r="263">
      <c r="M263" s="20"/>
    </row>
    <row r="264">
      <c r="M264" s="20"/>
    </row>
    <row r="265">
      <c r="M265" s="20"/>
    </row>
    <row r="266">
      <c r="M266" s="20"/>
    </row>
    <row r="267">
      <c r="M267" s="20"/>
    </row>
    <row r="268">
      <c r="M268" s="20"/>
    </row>
    <row r="269">
      <c r="M269" s="20"/>
    </row>
    <row r="270">
      <c r="M270" s="20"/>
    </row>
    <row r="271">
      <c r="M271" s="20"/>
    </row>
    <row r="272">
      <c r="M272" s="20"/>
    </row>
    <row r="273">
      <c r="M273" s="20"/>
    </row>
    <row r="274">
      <c r="M274" s="20"/>
    </row>
    <row r="275">
      <c r="M275" s="20"/>
    </row>
    <row r="276">
      <c r="M276" s="20"/>
    </row>
    <row r="277">
      <c r="M277" s="20"/>
    </row>
    <row r="278">
      <c r="M278" s="20"/>
    </row>
    <row r="279">
      <c r="M279" s="20"/>
    </row>
    <row r="280">
      <c r="M280" s="20"/>
    </row>
    <row r="281">
      <c r="M281" s="20"/>
    </row>
    <row r="282">
      <c r="M282" s="20"/>
    </row>
    <row r="283">
      <c r="M283" s="20"/>
    </row>
    <row r="284">
      <c r="M284" s="20"/>
    </row>
    <row r="285">
      <c r="M285" s="20"/>
    </row>
    <row r="286">
      <c r="M286" s="20"/>
    </row>
    <row r="287">
      <c r="M287" s="20"/>
    </row>
    <row r="288">
      <c r="M288" s="20"/>
    </row>
    <row r="289">
      <c r="M289" s="20"/>
    </row>
    <row r="290">
      <c r="M290" s="20"/>
    </row>
    <row r="291">
      <c r="M291" s="20"/>
    </row>
    <row r="292">
      <c r="M292" s="20"/>
    </row>
    <row r="293">
      <c r="M293" s="20"/>
    </row>
    <row r="294">
      <c r="M294" s="20"/>
    </row>
    <row r="295">
      <c r="M295" s="20"/>
    </row>
    <row r="296">
      <c r="M296" s="20"/>
    </row>
    <row r="297">
      <c r="M297" s="20"/>
    </row>
    <row r="298">
      <c r="M298" s="20"/>
    </row>
    <row r="299">
      <c r="M299" s="20"/>
    </row>
    <row r="300">
      <c r="M300" s="20"/>
    </row>
    <row r="301">
      <c r="M301" s="20"/>
    </row>
    <row r="302">
      <c r="M302" s="20"/>
    </row>
    <row r="303">
      <c r="M303" s="20"/>
    </row>
    <row r="304">
      <c r="M304" s="20"/>
    </row>
    <row r="305">
      <c r="M305" s="20"/>
    </row>
    <row r="306">
      <c r="M306" s="20"/>
    </row>
    <row r="307">
      <c r="M307" s="20"/>
    </row>
    <row r="308">
      <c r="M308" s="20"/>
    </row>
    <row r="309">
      <c r="M309" s="20"/>
    </row>
    <row r="310">
      <c r="M310" s="20"/>
    </row>
    <row r="311">
      <c r="M311" s="20"/>
    </row>
    <row r="312">
      <c r="M312" s="20"/>
    </row>
    <row r="313">
      <c r="M313" s="20"/>
    </row>
    <row r="314">
      <c r="M314" s="20"/>
    </row>
    <row r="315">
      <c r="M315" s="20"/>
    </row>
    <row r="316">
      <c r="M316" s="20"/>
    </row>
    <row r="317">
      <c r="M317" s="20"/>
    </row>
    <row r="318">
      <c r="M318" s="20"/>
    </row>
    <row r="319">
      <c r="M319" s="20"/>
    </row>
    <row r="320">
      <c r="M320" s="20"/>
    </row>
    <row r="321">
      <c r="M321" s="20"/>
    </row>
    <row r="322">
      <c r="M322" s="20"/>
    </row>
    <row r="323">
      <c r="M323" s="20"/>
    </row>
    <row r="324">
      <c r="M324" s="20"/>
    </row>
    <row r="325">
      <c r="M325" s="20"/>
    </row>
    <row r="326">
      <c r="M326" s="20"/>
    </row>
    <row r="327">
      <c r="M327" s="20"/>
    </row>
    <row r="328">
      <c r="M328" s="20"/>
    </row>
    <row r="329">
      <c r="M329" s="20"/>
    </row>
    <row r="330">
      <c r="M330" s="20"/>
    </row>
    <row r="331">
      <c r="M331" s="20"/>
    </row>
    <row r="332">
      <c r="M332" s="20"/>
    </row>
    <row r="333">
      <c r="M333" s="20"/>
    </row>
    <row r="334">
      <c r="M334" s="20"/>
    </row>
    <row r="335">
      <c r="M335" s="20"/>
    </row>
    <row r="336">
      <c r="M336" s="20"/>
    </row>
    <row r="337">
      <c r="M337" s="20"/>
    </row>
    <row r="338">
      <c r="M338" s="20"/>
    </row>
    <row r="339">
      <c r="M339" s="20"/>
    </row>
    <row r="340">
      <c r="M340" s="20"/>
    </row>
    <row r="341">
      <c r="M341" s="20"/>
    </row>
    <row r="342">
      <c r="M342" s="20"/>
    </row>
    <row r="343">
      <c r="M343" s="20"/>
    </row>
    <row r="344">
      <c r="M344" s="20"/>
    </row>
    <row r="345">
      <c r="M345" s="20"/>
    </row>
    <row r="346">
      <c r="M346" s="20"/>
    </row>
    <row r="347">
      <c r="M347" s="20"/>
    </row>
    <row r="348">
      <c r="M348" s="20"/>
    </row>
    <row r="349">
      <c r="M349" s="20"/>
    </row>
    <row r="350">
      <c r="M350" s="20"/>
    </row>
    <row r="351">
      <c r="M351" s="20"/>
    </row>
    <row r="352">
      <c r="M352" s="20"/>
    </row>
    <row r="353">
      <c r="M353" s="20"/>
    </row>
    <row r="354">
      <c r="M354" s="20"/>
    </row>
    <row r="355">
      <c r="M355" s="20"/>
    </row>
    <row r="356">
      <c r="M356" s="20"/>
    </row>
    <row r="357">
      <c r="M357" s="20"/>
    </row>
    <row r="358">
      <c r="M358" s="20"/>
    </row>
    <row r="359">
      <c r="M359" s="20"/>
    </row>
    <row r="360">
      <c r="M360" s="20"/>
    </row>
    <row r="361">
      <c r="M361" s="20"/>
    </row>
    <row r="362">
      <c r="M362" s="20"/>
    </row>
    <row r="363">
      <c r="M363" s="20"/>
    </row>
    <row r="364">
      <c r="M364" s="20"/>
    </row>
    <row r="365">
      <c r="M365" s="20"/>
    </row>
    <row r="366">
      <c r="M366" s="20"/>
    </row>
    <row r="367">
      <c r="M367" s="20"/>
    </row>
    <row r="368">
      <c r="M368" s="20"/>
    </row>
    <row r="369">
      <c r="M369" s="20"/>
    </row>
    <row r="370">
      <c r="M370" s="20"/>
    </row>
    <row r="371">
      <c r="M371" s="20"/>
    </row>
    <row r="372">
      <c r="M372" s="20"/>
    </row>
    <row r="373">
      <c r="M373" s="20"/>
    </row>
    <row r="374">
      <c r="M374" s="20"/>
    </row>
    <row r="375">
      <c r="M375" s="20"/>
    </row>
    <row r="376">
      <c r="M376" s="20"/>
    </row>
    <row r="377">
      <c r="M377" s="20"/>
    </row>
    <row r="378">
      <c r="M378" s="20"/>
    </row>
    <row r="379">
      <c r="M379" s="20"/>
    </row>
    <row r="380">
      <c r="M380" s="20"/>
    </row>
    <row r="381">
      <c r="M381" s="20"/>
    </row>
    <row r="382">
      <c r="M382" s="20"/>
    </row>
    <row r="383">
      <c r="M383" s="20"/>
    </row>
    <row r="384">
      <c r="M384" s="20"/>
    </row>
    <row r="385">
      <c r="M385" s="20"/>
    </row>
    <row r="386">
      <c r="M386" s="20"/>
    </row>
    <row r="387">
      <c r="M387" s="20"/>
    </row>
    <row r="388">
      <c r="M388" s="20"/>
    </row>
    <row r="389">
      <c r="M389" s="20"/>
    </row>
    <row r="390">
      <c r="M390" s="20"/>
    </row>
    <row r="391">
      <c r="M391" s="20"/>
    </row>
    <row r="392">
      <c r="M392" s="20"/>
    </row>
    <row r="393">
      <c r="M393" s="20"/>
    </row>
    <row r="394">
      <c r="M394" s="20"/>
    </row>
    <row r="395">
      <c r="M395" s="20"/>
    </row>
    <row r="396">
      <c r="M396" s="20"/>
    </row>
    <row r="397">
      <c r="M397" s="20"/>
    </row>
    <row r="398">
      <c r="M398" s="20"/>
    </row>
    <row r="399">
      <c r="M399" s="20"/>
    </row>
    <row r="400">
      <c r="M400" s="20"/>
    </row>
    <row r="401">
      <c r="M401" s="20"/>
    </row>
    <row r="402">
      <c r="M402" s="20"/>
    </row>
    <row r="403">
      <c r="M403" s="20"/>
    </row>
    <row r="404">
      <c r="M404" s="20"/>
    </row>
    <row r="405">
      <c r="M405" s="20"/>
    </row>
    <row r="406">
      <c r="M406" s="20"/>
    </row>
    <row r="407">
      <c r="M407" s="20"/>
    </row>
    <row r="408">
      <c r="M408" s="20"/>
    </row>
    <row r="409">
      <c r="M409" s="20"/>
    </row>
    <row r="410">
      <c r="M410" s="20"/>
    </row>
    <row r="411">
      <c r="M411" s="20"/>
    </row>
    <row r="412">
      <c r="M412" s="20"/>
    </row>
    <row r="413">
      <c r="M413" s="20"/>
    </row>
    <row r="414">
      <c r="M414" s="20"/>
    </row>
    <row r="415">
      <c r="M415" s="20"/>
    </row>
    <row r="416">
      <c r="M416" s="20"/>
    </row>
    <row r="417">
      <c r="M417" s="20"/>
    </row>
    <row r="418">
      <c r="M418" s="20"/>
    </row>
    <row r="419">
      <c r="M419" s="20"/>
    </row>
    <row r="420">
      <c r="M420" s="20"/>
    </row>
    <row r="421">
      <c r="M421" s="20"/>
    </row>
    <row r="422">
      <c r="M422" s="20"/>
    </row>
    <row r="423">
      <c r="M423" s="20"/>
    </row>
    <row r="424">
      <c r="M424" s="20"/>
    </row>
    <row r="425">
      <c r="M425" s="20"/>
    </row>
    <row r="426">
      <c r="M426" s="20"/>
    </row>
    <row r="427">
      <c r="M427" s="20"/>
    </row>
    <row r="428">
      <c r="M428" s="20"/>
    </row>
    <row r="429">
      <c r="M429" s="20"/>
    </row>
    <row r="430">
      <c r="M430" s="20"/>
    </row>
    <row r="431">
      <c r="M431" s="20"/>
    </row>
    <row r="432">
      <c r="M432" s="20"/>
    </row>
    <row r="433">
      <c r="M433" s="20"/>
    </row>
    <row r="434">
      <c r="M434" s="20"/>
    </row>
    <row r="435">
      <c r="M435" s="20"/>
    </row>
    <row r="436">
      <c r="M436" s="20"/>
    </row>
    <row r="437">
      <c r="M437" s="20"/>
    </row>
    <row r="438">
      <c r="M438" s="20"/>
    </row>
    <row r="439">
      <c r="M439" s="20"/>
    </row>
    <row r="440">
      <c r="M440" s="20"/>
    </row>
    <row r="441">
      <c r="M441" s="20"/>
    </row>
    <row r="442">
      <c r="M442" s="20"/>
    </row>
    <row r="443">
      <c r="M443" s="20"/>
    </row>
    <row r="444">
      <c r="M444" s="20"/>
    </row>
    <row r="445">
      <c r="M445" s="20"/>
    </row>
    <row r="446">
      <c r="M446" s="20"/>
    </row>
    <row r="447">
      <c r="M447" s="20"/>
    </row>
    <row r="448">
      <c r="M448" s="20"/>
    </row>
    <row r="449">
      <c r="M449" s="20"/>
    </row>
    <row r="450">
      <c r="M450" s="20"/>
    </row>
    <row r="451">
      <c r="M451" s="20"/>
    </row>
    <row r="452">
      <c r="M452" s="20"/>
    </row>
    <row r="453">
      <c r="M453" s="20"/>
    </row>
    <row r="454">
      <c r="M454" s="20"/>
    </row>
    <row r="455">
      <c r="M455" s="20"/>
    </row>
    <row r="456">
      <c r="M456" s="20"/>
    </row>
    <row r="457">
      <c r="M457" s="20"/>
    </row>
    <row r="458">
      <c r="M458" s="20"/>
    </row>
    <row r="459">
      <c r="M459" s="20"/>
    </row>
    <row r="460">
      <c r="M460" s="20"/>
    </row>
    <row r="461">
      <c r="M461" s="20"/>
    </row>
    <row r="462">
      <c r="M462" s="20"/>
    </row>
    <row r="463">
      <c r="M463" s="20"/>
    </row>
    <row r="464">
      <c r="M464" s="20"/>
    </row>
    <row r="465">
      <c r="M465" s="20"/>
    </row>
    <row r="466">
      <c r="M466" s="20"/>
    </row>
    <row r="467">
      <c r="M467" s="20"/>
    </row>
    <row r="468">
      <c r="M468" s="20"/>
    </row>
    <row r="469">
      <c r="M469" s="20"/>
    </row>
    <row r="470">
      <c r="M470" s="20"/>
    </row>
    <row r="471">
      <c r="M471" s="20"/>
    </row>
    <row r="472">
      <c r="M472" s="20"/>
    </row>
    <row r="473">
      <c r="M473" s="20"/>
    </row>
    <row r="474">
      <c r="M474" s="20"/>
    </row>
    <row r="475">
      <c r="M475" s="20"/>
    </row>
    <row r="476">
      <c r="M476" s="20"/>
    </row>
    <row r="477">
      <c r="M477" s="20"/>
    </row>
    <row r="478">
      <c r="M478" s="20"/>
    </row>
    <row r="479">
      <c r="M479" s="20"/>
    </row>
    <row r="480">
      <c r="M480" s="20"/>
    </row>
    <row r="481">
      <c r="M481" s="20"/>
    </row>
    <row r="482">
      <c r="M482" s="20"/>
    </row>
    <row r="483">
      <c r="M483" s="20"/>
    </row>
    <row r="484">
      <c r="M484" s="20"/>
    </row>
    <row r="485">
      <c r="M485" s="20"/>
    </row>
    <row r="486">
      <c r="M486" s="20"/>
    </row>
    <row r="487">
      <c r="M487" s="20"/>
    </row>
    <row r="488">
      <c r="M488" s="20"/>
    </row>
    <row r="489">
      <c r="M489" s="20"/>
    </row>
    <row r="490">
      <c r="M490" s="20"/>
    </row>
    <row r="491">
      <c r="M491" s="20"/>
    </row>
    <row r="492">
      <c r="M492" s="20"/>
    </row>
    <row r="493">
      <c r="M493" s="20"/>
    </row>
    <row r="494">
      <c r="M494" s="20"/>
    </row>
    <row r="495">
      <c r="M495" s="20"/>
    </row>
    <row r="496">
      <c r="M496" s="20"/>
    </row>
    <row r="497">
      <c r="M497" s="20"/>
    </row>
    <row r="498">
      <c r="M498" s="20"/>
    </row>
    <row r="499">
      <c r="M499" s="20"/>
    </row>
    <row r="500">
      <c r="M500" s="20"/>
    </row>
    <row r="501">
      <c r="M501" s="20"/>
    </row>
    <row r="502">
      <c r="M502" s="20"/>
    </row>
    <row r="503">
      <c r="M503" s="20"/>
    </row>
    <row r="504">
      <c r="M504" s="20"/>
    </row>
    <row r="505">
      <c r="M505" s="20"/>
    </row>
    <row r="506">
      <c r="M506" s="20"/>
    </row>
    <row r="507">
      <c r="M507" s="20"/>
    </row>
    <row r="508">
      <c r="M508" s="20"/>
    </row>
    <row r="509">
      <c r="M509" s="20"/>
    </row>
    <row r="510">
      <c r="M510" s="20"/>
    </row>
    <row r="511">
      <c r="M511" s="20"/>
    </row>
    <row r="512">
      <c r="M512" s="20"/>
    </row>
    <row r="513">
      <c r="M513" s="20"/>
    </row>
    <row r="514">
      <c r="M514" s="20"/>
    </row>
    <row r="515">
      <c r="M515" s="20"/>
    </row>
    <row r="516">
      <c r="M516" s="20"/>
    </row>
    <row r="517">
      <c r="M517" s="20"/>
    </row>
    <row r="518">
      <c r="M518" s="20"/>
    </row>
    <row r="519">
      <c r="M519" s="20"/>
    </row>
    <row r="520">
      <c r="M520" s="20"/>
    </row>
    <row r="521">
      <c r="M521" s="20"/>
    </row>
    <row r="522">
      <c r="M522" s="20"/>
    </row>
    <row r="523">
      <c r="M523" s="20"/>
    </row>
    <row r="524">
      <c r="M524" s="20"/>
    </row>
    <row r="525">
      <c r="M525" s="20"/>
    </row>
    <row r="526">
      <c r="M526" s="20"/>
    </row>
    <row r="527">
      <c r="M527" s="20"/>
    </row>
    <row r="528">
      <c r="M528" s="20"/>
    </row>
    <row r="529">
      <c r="M529" s="20"/>
    </row>
    <row r="530">
      <c r="M530" s="20"/>
    </row>
    <row r="531">
      <c r="M531" s="20"/>
    </row>
    <row r="532">
      <c r="M532" s="20"/>
    </row>
    <row r="533">
      <c r="M533" s="20"/>
    </row>
    <row r="534">
      <c r="M534" s="20"/>
    </row>
    <row r="535">
      <c r="M535" s="20"/>
    </row>
    <row r="536">
      <c r="M536" s="20"/>
    </row>
    <row r="537">
      <c r="M537" s="20"/>
    </row>
    <row r="538">
      <c r="M538" s="20"/>
    </row>
    <row r="539">
      <c r="M539" s="20"/>
    </row>
    <row r="540">
      <c r="M540" s="20"/>
    </row>
    <row r="541">
      <c r="M541" s="20"/>
    </row>
    <row r="542">
      <c r="M542" s="20"/>
    </row>
    <row r="543">
      <c r="M543" s="20"/>
    </row>
    <row r="544">
      <c r="M544" s="20"/>
    </row>
    <row r="545">
      <c r="M545" s="20"/>
    </row>
    <row r="546">
      <c r="M546" s="20"/>
    </row>
    <row r="547">
      <c r="M547" s="20"/>
    </row>
    <row r="548">
      <c r="M548" s="20"/>
    </row>
    <row r="549">
      <c r="M549" s="20"/>
    </row>
    <row r="550">
      <c r="M550" s="20"/>
    </row>
    <row r="551">
      <c r="M551" s="20"/>
    </row>
    <row r="552">
      <c r="M552" s="20"/>
    </row>
    <row r="553">
      <c r="M553" s="20"/>
    </row>
    <row r="554">
      <c r="M554" s="20"/>
    </row>
    <row r="555">
      <c r="M555" s="20"/>
    </row>
    <row r="556">
      <c r="M556" s="20"/>
    </row>
    <row r="557">
      <c r="M557" s="20"/>
    </row>
    <row r="558">
      <c r="M558" s="20"/>
    </row>
    <row r="559">
      <c r="M559" s="20"/>
    </row>
    <row r="560">
      <c r="M560" s="20"/>
    </row>
    <row r="561">
      <c r="M561" s="20"/>
    </row>
    <row r="562">
      <c r="M562" s="20"/>
    </row>
    <row r="563">
      <c r="M563" s="20"/>
    </row>
    <row r="564">
      <c r="M564" s="20"/>
    </row>
    <row r="565">
      <c r="M565" s="20"/>
    </row>
    <row r="566">
      <c r="M566" s="20"/>
    </row>
    <row r="567">
      <c r="M567" s="20"/>
    </row>
    <row r="568">
      <c r="M568" s="20"/>
    </row>
    <row r="569">
      <c r="M569" s="20"/>
    </row>
    <row r="570">
      <c r="M570" s="20"/>
    </row>
    <row r="571">
      <c r="M571" s="20"/>
    </row>
    <row r="572">
      <c r="M572" s="20"/>
    </row>
    <row r="573">
      <c r="M573" s="20"/>
    </row>
    <row r="574">
      <c r="M574" s="20"/>
    </row>
    <row r="575">
      <c r="M575" s="20"/>
    </row>
    <row r="576">
      <c r="M576" s="20"/>
    </row>
    <row r="577">
      <c r="M577" s="20"/>
    </row>
    <row r="578">
      <c r="M578" s="20"/>
    </row>
    <row r="579">
      <c r="M579" s="20"/>
    </row>
    <row r="580">
      <c r="M580" s="20"/>
    </row>
    <row r="581">
      <c r="M581" s="20"/>
    </row>
    <row r="582">
      <c r="M582" s="20"/>
    </row>
    <row r="583">
      <c r="M583" s="20"/>
    </row>
    <row r="584">
      <c r="M584" s="20"/>
    </row>
    <row r="585">
      <c r="M585" s="20"/>
    </row>
    <row r="586">
      <c r="M586" s="20"/>
    </row>
    <row r="587">
      <c r="M587" s="20"/>
    </row>
    <row r="588">
      <c r="M588" s="20"/>
    </row>
    <row r="589">
      <c r="M589" s="20"/>
    </row>
    <row r="590">
      <c r="M590" s="20"/>
    </row>
    <row r="591">
      <c r="M591" s="20"/>
    </row>
    <row r="592">
      <c r="M592" s="20"/>
    </row>
    <row r="593">
      <c r="M593" s="20"/>
    </row>
    <row r="594">
      <c r="M594" s="20"/>
    </row>
    <row r="595">
      <c r="M595" s="20"/>
    </row>
    <row r="596">
      <c r="M596" s="20"/>
    </row>
    <row r="597">
      <c r="M597" s="20"/>
    </row>
    <row r="598">
      <c r="M598" s="20"/>
    </row>
    <row r="599">
      <c r="M599" s="20"/>
    </row>
    <row r="600">
      <c r="M600" s="20"/>
    </row>
    <row r="601">
      <c r="M601" s="20"/>
    </row>
    <row r="602">
      <c r="M602" s="20"/>
    </row>
    <row r="603">
      <c r="M603" s="20"/>
    </row>
    <row r="604">
      <c r="M604" s="20"/>
    </row>
    <row r="605">
      <c r="M605" s="20"/>
    </row>
    <row r="606">
      <c r="M606" s="20"/>
    </row>
    <row r="607">
      <c r="M607" s="20"/>
    </row>
    <row r="608">
      <c r="M608" s="20"/>
    </row>
    <row r="609">
      <c r="M609" s="20"/>
    </row>
    <row r="610">
      <c r="M610" s="20"/>
    </row>
    <row r="611">
      <c r="M611" s="20"/>
    </row>
    <row r="612">
      <c r="M612" s="20"/>
    </row>
    <row r="613">
      <c r="M613" s="20"/>
    </row>
    <row r="614">
      <c r="M614" s="20"/>
    </row>
    <row r="615">
      <c r="M615" s="20"/>
    </row>
    <row r="616">
      <c r="M616" s="20"/>
    </row>
    <row r="617">
      <c r="M617" s="20"/>
    </row>
  </sheetData>
  <mergeCells count="1">
    <mergeCell ref="C4:D4"/>
  </mergeCells>
  <conditionalFormatting sqref="A5:A6">
    <cfRule type="expression" dxfId="3" priority="1">
      <formula>and(countif(A:A,A5)&gt;countif(C:C,C5),C5&lt;&gt;"")</formula>
    </cfRule>
  </conditionalFormatting>
  <conditionalFormatting sqref="A5:A6">
    <cfRule type="expression" dxfId="3" priority="2">
      <formula>or(and(#REF!&lt;&gt;"",A5&lt;&gt;"",#REF!=#REF!,A5=A6),and(#REF!&lt;&gt;"",#REF!&lt;&gt;"",#REF!=#REF!,A5=#REF!))</formula>
    </cfRule>
  </conditionalFormatting>
  <conditionalFormatting sqref="A5:A6">
    <cfRule type="expression" dxfId="3" priority="3">
      <formula>"=COUNTIFS(A:A, A5, F:F, "Primary - Top") &gt; 1'"</formula>
    </cfRule>
  </conditionalFormatting>
  <conditionalFormatting sqref="A1:B1">
    <cfRule type="cellIs" dxfId="3" priority="4" operator="notEqual">
      <formula>0</formula>
    </cfRule>
  </conditionalFormatting>
  <conditionalFormatting sqref="A5:A711">
    <cfRule type="expression" dxfId="5" priority="5">
      <formula>and(A5&lt;&gt;"",B5&lt;&gt;"",countif(A:A,A5)&lt;&gt;countif(B:B,B5))</formula>
    </cfRule>
  </conditionalFormatting>
  <conditionalFormatting sqref="B5:B711">
    <cfRule type="expression" dxfId="5" priority="6">
      <formula>and(A5&lt;&gt;"",B5&lt;&gt;"",countif(A:A,A5)&lt;&gt;countif(B:B,B5))</formula>
    </cfRule>
  </conditionalFormatting>
  <conditionalFormatting sqref="E5:K711">
    <cfRule type="expression" dxfId="9" priority="7">
      <formula>$L5=true</formula>
    </cfRule>
  </conditionalFormatting>
  <conditionalFormatting sqref="L5:L711">
    <cfRule type="expression" dxfId="9" priority="8">
      <formula>OR($E5:$K5)</formula>
    </cfRule>
  </conditionalFormatting>
  <dataValidations>
    <dataValidation type="custom" allowBlank="1" showDropDown="1" showInputMessage="1" showErrorMessage="1" prompt="Enter a value that satisfies the formula: =and(regexmatch(B5,&quot;^[a-zA-Z0-9]*$&quot;), len(B5)&gt;=3, len(B5)&lt;=20)" sqref="B5:B6">
      <formula1>and(regexmatch(B5,"^[a-zA-Z0-9]*$"), len(B5)&gt;=3, len(B5)&lt;=20)</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0"/>
    <col customWidth="1" min="2" max="2" width="26.75"/>
    <col customWidth="1" min="3" max="3" width="13.88"/>
    <col customWidth="1" min="4" max="4" width="19.38"/>
    <col customWidth="1" min="5" max="5" width="30.75"/>
    <col customWidth="1" min="6" max="6" width="20.63"/>
    <col customWidth="1" min="7" max="7" width="17.13"/>
    <col customWidth="1" min="8" max="8" width="17.63"/>
    <col customWidth="1" min="9" max="9" width="15.13"/>
    <col customWidth="1" min="10" max="10" width="16.38"/>
    <col customWidth="1" min="11" max="11" width="22.75"/>
    <col customWidth="1" min="12" max="12" width="9.0"/>
    <col customWidth="1" min="13" max="13" width="15.75"/>
    <col customWidth="1" min="14" max="14" width="14.75"/>
    <col customWidth="1" min="15" max="15" width="16.75"/>
    <col customWidth="1" min="16" max="16" width="17.0"/>
  </cols>
  <sheetData>
    <row r="1">
      <c r="A1" s="162" t="s">
        <v>179</v>
      </c>
    </row>
    <row r="2">
      <c r="A2" s="163" t="s">
        <v>180</v>
      </c>
    </row>
    <row r="3">
      <c r="A3" s="13">
        <f>IFERROR(__xludf.DUMMYFUNCTION("COUNTUNIQUE(A7:A126)-if(COUNTIF('4) Release_Artist(s)'!E:E, ""Various Artists"")&gt;0,0,1)"),37.0)</f>
        <v>37</v>
      </c>
      <c r="B3" s="14" t="s">
        <v>25</v>
      </c>
      <c r="C3" s="15">
        <f>IFERROR(__xludf.DUMMYFUNCTION("COUNTUNIQUE(C7:C126)"),11.0)</f>
        <v>11</v>
      </c>
      <c r="D3" s="16">
        <f>IFERROR(__xludf.DUMMYFUNCTION("COUNTUNIQUE(D7:D126)"),13.0)</f>
        <v>13</v>
      </c>
    </row>
    <row r="4">
      <c r="A4" s="22" t="s">
        <v>27</v>
      </c>
      <c r="B4" s="23" t="s">
        <v>28</v>
      </c>
      <c r="C4" s="24"/>
      <c r="D4" s="25" t="s">
        <v>29</v>
      </c>
    </row>
    <row r="5">
      <c r="A5" s="29" t="s">
        <v>31</v>
      </c>
      <c r="B5" s="30" t="s">
        <v>32</v>
      </c>
      <c r="C5" s="31" t="s">
        <v>33</v>
      </c>
      <c r="D5" s="32" t="s">
        <v>34</v>
      </c>
    </row>
    <row r="6">
      <c r="A6" s="35" t="s">
        <v>38</v>
      </c>
      <c r="B6" s="36" t="s">
        <v>39</v>
      </c>
      <c r="C6" s="37" t="s">
        <v>40</v>
      </c>
      <c r="D6" s="38" t="s">
        <v>41</v>
      </c>
    </row>
    <row r="7">
      <c r="A7" s="164" t="s">
        <v>181</v>
      </c>
      <c r="B7" s="165" t="s">
        <v>182</v>
      </c>
      <c r="C7" s="166"/>
    </row>
    <row r="8">
      <c r="A8" s="167" t="s">
        <v>183</v>
      </c>
      <c r="B8" s="166"/>
      <c r="C8" s="166"/>
    </row>
    <row r="10">
      <c r="A10" s="163" t="s">
        <v>184</v>
      </c>
    </row>
    <row r="11">
      <c r="A11" s="14" t="s">
        <v>51</v>
      </c>
      <c r="B11" s="13">
        <f>IFERROR(__xludf.DUMMYFUNCTION("COUNTUNIQUE(A15:A126)"),33.0)</f>
        <v>33</v>
      </c>
    </row>
    <row r="12">
      <c r="A12" s="22" t="s">
        <v>27</v>
      </c>
    </row>
    <row r="13">
      <c r="A13" s="49" t="s">
        <v>52</v>
      </c>
      <c r="B13" s="16" t="s">
        <v>37</v>
      </c>
    </row>
    <row r="14">
      <c r="A14" s="35" t="s">
        <v>38</v>
      </c>
      <c r="B14" s="168">
        <v>0.0</v>
      </c>
    </row>
    <row r="15">
      <c r="A15" s="169" t="s">
        <v>185</v>
      </c>
    </row>
    <row r="17">
      <c r="A17" s="170" t="s">
        <v>186</v>
      </c>
    </row>
    <row r="18">
      <c r="A18" s="13">
        <f>IFERROR(__xludf.DUMMYFUNCTION("COUNTUNIQUE(A22:A126)"),28.0)</f>
        <v>28</v>
      </c>
      <c r="B18" s="22" t="s">
        <v>27</v>
      </c>
      <c r="C18" s="13">
        <f>IFERROR(__xludf.DUMMYFUNCTION("COUNTUNIQUE(B22:B126)"),13.0)</f>
        <v>13</v>
      </c>
      <c r="D18" s="13">
        <f>IFERROR(__xludf.DUMMYFUNCTION("COUNTUNIQUE(D22:D126)"),10.0)</f>
        <v>10</v>
      </c>
      <c r="E18" s="13">
        <f>IFERROR(__xludf.DUMMYFUNCTION("COUNTUNIQUE(E22:E126)"),23.0)</f>
        <v>23</v>
      </c>
      <c r="F18" s="53" t="s">
        <v>29</v>
      </c>
      <c r="G18" s="13">
        <f>COUNTA(F22:F126)</f>
        <v>30</v>
      </c>
      <c r="H18" s="54" t="s">
        <v>55</v>
      </c>
      <c r="I18" s="55">
        <f>countif(I22:I126,"Video")</f>
        <v>0</v>
      </c>
      <c r="J18" s="56"/>
      <c r="L18" s="57"/>
      <c r="M18" s="22" t="s">
        <v>27</v>
      </c>
      <c r="N18" s="58" t="s">
        <v>55</v>
      </c>
      <c r="O18" s="59"/>
      <c r="P18" s="59"/>
    </row>
    <row r="19">
      <c r="A19" s="60" t="s">
        <v>56</v>
      </c>
      <c r="B19" s="61"/>
      <c r="C19" s="61"/>
      <c r="D19" s="61"/>
      <c r="E19" s="62"/>
      <c r="F19" s="61"/>
      <c r="G19" s="61"/>
      <c r="H19" s="61"/>
      <c r="I19" s="63"/>
      <c r="J19" s="61"/>
      <c r="K19" s="61"/>
      <c r="L19" s="61"/>
      <c r="M19" s="61"/>
      <c r="N19" s="64"/>
      <c r="O19" s="63"/>
      <c r="P19" s="63"/>
    </row>
    <row r="20">
      <c r="A20" s="65" t="s">
        <v>57</v>
      </c>
      <c r="B20" s="68" t="s">
        <v>187</v>
      </c>
      <c r="C20" s="67" t="s">
        <v>59</v>
      </c>
      <c r="D20" s="68" t="s">
        <v>60</v>
      </c>
      <c r="E20" s="69" t="s">
        <v>61</v>
      </c>
      <c r="F20" s="70" t="s">
        <v>62</v>
      </c>
      <c r="G20" s="70" t="s">
        <v>63</v>
      </c>
      <c r="H20" s="71" t="s">
        <v>64</v>
      </c>
      <c r="I20" s="65" t="s">
        <v>65</v>
      </c>
      <c r="J20" s="72" t="s">
        <v>66</v>
      </c>
      <c r="K20" s="72"/>
      <c r="L20" s="72" t="s">
        <v>67</v>
      </c>
      <c r="M20" s="72"/>
      <c r="N20" s="73" t="s">
        <v>68</v>
      </c>
      <c r="O20" s="74" t="s">
        <v>69</v>
      </c>
      <c r="P20" s="75" t="s">
        <v>70</v>
      </c>
    </row>
    <row r="21">
      <c r="A21" s="77" t="s">
        <v>71</v>
      </c>
      <c r="B21" s="78" t="s">
        <v>188</v>
      </c>
      <c r="C21" s="79" t="s">
        <v>73</v>
      </c>
      <c r="D21" s="78" t="s">
        <v>189</v>
      </c>
      <c r="E21" s="80" t="s">
        <v>190</v>
      </c>
      <c r="F21" s="81" t="s">
        <v>76</v>
      </c>
      <c r="G21" s="81" t="s">
        <v>77</v>
      </c>
      <c r="H21" s="82" t="s">
        <v>78</v>
      </c>
      <c r="I21" s="35" t="s">
        <v>79</v>
      </c>
      <c r="J21" s="35" t="s">
        <v>80</v>
      </c>
      <c r="K21" s="81" t="s">
        <v>81</v>
      </c>
      <c r="L21" s="35" t="s">
        <v>80</v>
      </c>
      <c r="M21" s="81" t="s">
        <v>81</v>
      </c>
      <c r="N21" s="36" t="s">
        <v>82</v>
      </c>
      <c r="O21" s="35" t="s">
        <v>191</v>
      </c>
      <c r="P21" s="82" t="s">
        <v>192</v>
      </c>
    </row>
    <row r="22">
      <c r="A22" s="171" t="s">
        <v>185</v>
      </c>
      <c r="B22" s="172" t="s">
        <v>193</v>
      </c>
      <c r="C22" s="173" t="s">
        <v>86</v>
      </c>
      <c r="D22" s="174">
        <v>1.94492001536E11</v>
      </c>
      <c r="E22" s="171">
        <v>1503.0</v>
      </c>
      <c r="F22" s="175" t="s">
        <v>194</v>
      </c>
      <c r="G22" s="171" t="s">
        <v>195</v>
      </c>
      <c r="H22" s="176"/>
      <c r="I22" s="171" t="s">
        <v>90</v>
      </c>
      <c r="J22" s="171">
        <v>2019.0</v>
      </c>
      <c r="K22" s="171" t="s">
        <v>196</v>
      </c>
      <c r="L22" s="171">
        <v>2019.0</v>
      </c>
      <c r="M22" s="171" t="s">
        <v>196</v>
      </c>
      <c r="N22" s="176"/>
      <c r="O22" s="177" t="s">
        <v>197</v>
      </c>
      <c r="P22" s="178"/>
    </row>
    <row r="24">
      <c r="A24" s="179" t="s">
        <v>198</v>
      </c>
    </row>
    <row r="25">
      <c r="A25" s="180">
        <v>0.0</v>
      </c>
      <c r="B25" s="180">
        <v>0.0</v>
      </c>
      <c r="C25" s="95" t="s">
        <v>94</v>
      </c>
      <c r="D25" s="96"/>
      <c r="E25" s="13">
        <f>IFERROR(__xludf.DUMMYFUNCTION("COUNTUNIQUE(E29:E126)"),20.0)</f>
        <v>20</v>
      </c>
      <c r="F25" s="22" t="s">
        <v>27</v>
      </c>
      <c r="G25" s="150" t="s">
        <v>29</v>
      </c>
    </row>
    <row r="26">
      <c r="A26" s="99" t="s">
        <v>95</v>
      </c>
      <c r="B26" s="100"/>
      <c r="C26" s="101"/>
      <c r="D26" s="102"/>
      <c r="E26" s="102"/>
      <c r="F26" s="102"/>
      <c r="G26" s="102"/>
    </row>
    <row r="27">
      <c r="A27" s="66" t="s">
        <v>60</v>
      </c>
      <c r="B27" s="69" t="s">
        <v>61</v>
      </c>
      <c r="C27" s="103" t="s">
        <v>62</v>
      </c>
      <c r="D27" s="103" t="s">
        <v>64</v>
      </c>
      <c r="E27" s="104" t="s">
        <v>96</v>
      </c>
      <c r="F27" s="104" t="s">
        <v>97</v>
      </c>
      <c r="G27" s="13" t="str">
        <f>countif(F:F,"Primary - Top")-#REF!</f>
        <v>#REF!</v>
      </c>
    </row>
    <row r="28">
      <c r="A28" s="78" t="s">
        <v>99</v>
      </c>
      <c r="B28" s="80" t="s">
        <v>99</v>
      </c>
      <c r="C28" s="106" t="s">
        <v>100</v>
      </c>
      <c r="E28" s="107" t="s">
        <v>199</v>
      </c>
      <c r="F28" s="35" t="s">
        <v>79</v>
      </c>
      <c r="G28" s="109" t="s">
        <v>200</v>
      </c>
    </row>
    <row r="29">
      <c r="A29" s="174">
        <v>1.94492001536E11</v>
      </c>
      <c r="B29" s="171">
        <v>1503.0</v>
      </c>
      <c r="C29" s="114" t="str">
        <f t="shared" ref="C29:C30" si="1">if(and(isblank($A29),isblank($B29)),"", if(and(not(isblank($B29)),$B29=$B28,$A29&lt;&gt;$A28),"ID LISTS UNALIGNED",if(not(isblank($A29)),ifna(VLOOKUP($A29,D$22:F$22,3,false),"NO UPC MATCH in Release_Label"),ifna(VLOOKUP($B29,E$22:H$22,2,false),"NO CATALOG ID MATCH in Release_Label") )))</f>
        <v>Soul Salvation</v>
      </c>
      <c r="D29" s="114" t="str">
        <f t="shared" ref="D29:D30" si="2">if(and(isblank($A29),isblank($B29)),"", if(and(not(isblank($B29)),$B29=$B28,$A29&lt;&gt;$A28),"ID LISTS UNALIGNED",if(not(isblank($A29)),ifna(VLOOKUP($A29,$D$22:$H$22,5,false),"NO UPC MATCH in Release_Label"),ifna(VLOOKUP($B29,$E$22:$H$22,4,false),"NO CATALOG ID MATCH in Release_Label") )))</f>
        <v/>
      </c>
      <c r="E29" s="171" t="s">
        <v>181</v>
      </c>
      <c r="F29" s="177" t="s">
        <v>201</v>
      </c>
    </row>
    <row r="30">
      <c r="A30" s="174">
        <v>1.94492001536E11</v>
      </c>
      <c r="B30" s="171">
        <v>1503.0</v>
      </c>
      <c r="C30" s="114" t="str">
        <f t="shared" si="1"/>
        <v>Soul Salvation</v>
      </c>
      <c r="D30" s="114" t="str">
        <f t="shared" si="2"/>
        <v/>
      </c>
      <c r="E30" s="171" t="s">
        <v>183</v>
      </c>
      <c r="F30" s="177" t="s">
        <v>202</v>
      </c>
    </row>
    <row r="32">
      <c r="A32" s="179" t="s">
        <v>203</v>
      </c>
    </row>
    <row r="33">
      <c r="A33" s="180">
        <v>0.0</v>
      </c>
      <c r="B33" s="180">
        <v>0.0</v>
      </c>
      <c r="C33" s="95" t="s">
        <v>94</v>
      </c>
      <c r="D33" s="96"/>
      <c r="E33" s="55">
        <f>count(E37:E126)</f>
        <v>7</v>
      </c>
      <c r="F33" s="13">
        <f>IFERROR(__xludf.DUMMYFUNCTION("COUNTUNIQUE(F37:F126)"),13.0)</f>
        <v>13</v>
      </c>
      <c r="G33" s="13">
        <f>IFERROR(__xludf.DUMMYFUNCTION("COUNTUNIQUE(G37:G126)"),14.0)</f>
        <v>14</v>
      </c>
      <c r="H33" s="53" t="s">
        <v>29</v>
      </c>
      <c r="I33" s="54" t="s">
        <v>55</v>
      </c>
      <c r="J33" s="22" t="s">
        <v>27</v>
      </c>
      <c r="K33" s="94"/>
      <c r="M33" s="13">
        <f>IFERROR(__xludf.DUMMYFUNCTION("COUNTUNIQUE(M37:M126)"),3.0)</f>
        <v>3</v>
      </c>
      <c r="N33" s="13">
        <f>COUNTA(N37:N126)</f>
        <v>3</v>
      </c>
    </row>
    <row r="34">
      <c r="A34" s="101" t="s">
        <v>108</v>
      </c>
      <c r="B34" s="102"/>
      <c r="C34" s="102"/>
      <c r="D34" s="115"/>
      <c r="E34" s="116"/>
      <c r="F34" s="102"/>
      <c r="G34" s="102"/>
      <c r="H34" s="102"/>
      <c r="I34" s="102"/>
      <c r="J34" s="102"/>
      <c r="K34" s="115"/>
      <c r="L34" s="102"/>
      <c r="M34" s="102"/>
      <c r="N34" s="102"/>
      <c r="O34" s="102"/>
    </row>
    <row r="35">
      <c r="A35" s="68" t="s">
        <v>60</v>
      </c>
      <c r="B35" s="69" t="s">
        <v>61</v>
      </c>
      <c r="C35" s="103" t="s">
        <v>62</v>
      </c>
      <c r="D35" s="103" t="s">
        <v>64</v>
      </c>
      <c r="E35" s="103" t="s">
        <v>109</v>
      </c>
      <c r="F35" s="118" t="s">
        <v>204</v>
      </c>
      <c r="G35" s="69" t="s">
        <v>111</v>
      </c>
      <c r="H35" s="70" t="s">
        <v>112</v>
      </c>
      <c r="I35" s="119" t="s">
        <v>113</v>
      </c>
      <c r="J35" s="49" t="s">
        <v>114</v>
      </c>
      <c r="K35" s="49" t="s">
        <v>115</v>
      </c>
      <c r="L35" s="49" t="s">
        <v>116</v>
      </c>
      <c r="M35" s="69" t="s">
        <v>117</v>
      </c>
      <c r="N35" s="67" t="s">
        <v>118</v>
      </c>
      <c r="O35" s="120" t="s">
        <v>119</v>
      </c>
    </row>
    <row r="36">
      <c r="A36" s="78" t="s">
        <v>99</v>
      </c>
      <c r="B36" s="80" t="s">
        <v>99</v>
      </c>
      <c r="C36" s="121" t="s">
        <v>100</v>
      </c>
      <c r="E36" s="122" t="s">
        <v>121</v>
      </c>
      <c r="F36" s="123" t="s">
        <v>205</v>
      </c>
      <c r="G36" s="80" t="s">
        <v>206</v>
      </c>
      <c r="H36" s="81" t="s">
        <v>76</v>
      </c>
      <c r="I36" s="82" t="s">
        <v>78</v>
      </c>
      <c r="J36" s="124" t="s">
        <v>207</v>
      </c>
      <c r="K36" s="124" t="s">
        <v>125</v>
      </c>
      <c r="L36" s="124" t="s">
        <v>126</v>
      </c>
      <c r="M36" s="80" t="s">
        <v>208</v>
      </c>
      <c r="N36" s="125" t="s">
        <v>128</v>
      </c>
      <c r="O36" s="36" t="s">
        <v>129</v>
      </c>
    </row>
    <row r="37">
      <c r="A37" s="174">
        <v>1.94492001536E11</v>
      </c>
      <c r="B37" s="171">
        <v>1503.0</v>
      </c>
      <c r="C37" s="114" t="str">
        <f t="shared" ref="C37:C39" si="3">if(and(isblank($A37),isblank($B37)),"", if(and(not(isblank($B37)),$B37=$B36,$A37&lt;&gt;$A36),"ID LISTS UNALIGNED",if(not(isblank($A37)),ifna(VLOOKUP($A37,D$22:F$22,3,false),"NO UPC MATCH in Release_Label"),ifna(VLOOKUP($B37,E$22:H$22,2,false),"NO CATALOG ID MATCH in Release_Label") )))</f>
        <v>Soul Salvation</v>
      </c>
      <c r="D37" s="114" t="str">
        <f t="shared" ref="D37:D39" si="4">if(and(isblank($A37),isblank($B37)),"", if(and(not(isblank($B37)),$B37=$B36,$A37&lt;&gt;$A36),"ID LISTS UNALIGNED",if(not(isblank($A37)),ifna(VLOOKUP($A37,$D$22:$H$22,5,false),"NO UPC MATCH in Release_Label"),ifna(VLOOKUP($B37,$E$22:$H$22,4,false),"NO CATALOG ID MATCH in Release_Label") )))</f>
        <v/>
      </c>
      <c r="E37" s="181">
        <f t="shared" ref="E37:E39" si="5">if(and(isblank($A37),isblank($B37)),"",if(not(iserror(find("MATCH in ",D37))),D37,if(and(not(isblank($B37)),$B37=$B36,$A37&lt;&gt;$A36),"ID LISTS UNALIGNED",if(not(isblank($A37)),if($A37=$A36,1+E36,1),if($B37=$B36,1+E36,1)))))</f>
        <v>1</v>
      </c>
      <c r="F37" s="171" t="s">
        <v>209</v>
      </c>
      <c r="G37" s="171">
        <v>13296.0</v>
      </c>
      <c r="H37" s="182" t="s">
        <v>194</v>
      </c>
      <c r="I37" s="176"/>
      <c r="J37" s="171" t="s">
        <v>195</v>
      </c>
      <c r="K37" s="183" t="s">
        <v>131</v>
      </c>
      <c r="L37" s="171" t="s">
        <v>132</v>
      </c>
      <c r="M37" s="184" t="s">
        <v>210</v>
      </c>
      <c r="N37" s="171" t="s">
        <v>211</v>
      </c>
      <c r="O37" s="171">
        <v>70.0</v>
      </c>
    </row>
    <row r="38">
      <c r="A38" s="174">
        <v>1.94492001536E11</v>
      </c>
      <c r="B38" s="171">
        <v>1503.0</v>
      </c>
      <c r="C38" s="114" t="str">
        <f t="shared" si="3"/>
        <v>Soul Salvation</v>
      </c>
      <c r="D38" s="114" t="str">
        <f t="shared" si="4"/>
        <v/>
      </c>
      <c r="E38" s="181">
        <f t="shared" si="5"/>
        <v>2</v>
      </c>
      <c r="F38" s="171" t="s">
        <v>212</v>
      </c>
      <c r="G38" s="171">
        <v>13295.0</v>
      </c>
      <c r="H38" s="182" t="s">
        <v>194</v>
      </c>
      <c r="I38" s="185" t="s">
        <v>213</v>
      </c>
      <c r="J38" s="171" t="s">
        <v>213</v>
      </c>
      <c r="K38" s="183" t="s">
        <v>131</v>
      </c>
      <c r="L38" s="171" t="s">
        <v>132</v>
      </c>
      <c r="M38" s="184" t="s">
        <v>214</v>
      </c>
      <c r="N38" s="171" t="s">
        <v>211</v>
      </c>
      <c r="O38" s="171">
        <v>100.0</v>
      </c>
    </row>
    <row r="39">
      <c r="A39" s="174">
        <v>1.94492001536E11</v>
      </c>
      <c r="B39" s="171">
        <v>1503.0</v>
      </c>
      <c r="C39" s="114" t="str">
        <f t="shared" si="3"/>
        <v>Soul Salvation</v>
      </c>
      <c r="D39" s="114" t="str">
        <f t="shared" si="4"/>
        <v/>
      </c>
      <c r="E39" s="181">
        <f t="shared" si="5"/>
        <v>3</v>
      </c>
      <c r="F39" s="174" t="s">
        <v>215</v>
      </c>
      <c r="G39" s="174">
        <v>13452.0</v>
      </c>
      <c r="H39" s="182" t="s">
        <v>216</v>
      </c>
      <c r="I39" s="185" t="s">
        <v>213</v>
      </c>
      <c r="J39" s="171" t="s">
        <v>213</v>
      </c>
      <c r="K39" s="183" t="s">
        <v>131</v>
      </c>
      <c r="L39" s="171" t="s">
        <v>132</v>
      </c>
      <c r="M39" s="165" t="s">
        <v>217</v>
      </c>
      <c r="N39" s="174" t="s">
        <v>134</v>
      </c>
      <c r="O39" s="174">
        <v>100.0</v>
      </c>
    </row>
    <row r="41">
      <c r="A41" s="179" t="s">
        <v>218</v>
      </c>
    </row>
    <row r="42">
      <c r="A42" s="180">
        <v>0.0</v>
      </c>
      <c r="B42" s="180">
        <v>0.0</v>
      </c>
      <c r="C42" s="95" t="s">
        <v>94</v>
      </c>
      <c r="D42" s="96"/>
      <c r="E42" s="13">
        <f>IFERROR(__xludf.DUMMYFUNCTION("COUNTUNIQUE(E46:E126)"),11.0)</f>
        <v>11</v>
      </c>
      <c r="F42" s="22" t="s">
        <v>27</v>
      </c>
      <c r="G42" s="150" t="s">
        <v>29</v>
      </c>
    </row>
    <row r="43">
      <c r="A43" s="101" t="s">
        <v>137</v>
      </c>
      <c r="B43" s="102"/>
      <c r="C43" s="135"/>
      <c r="D43" s="135"/>
      <c r="E43" s="135"/>
      <c r="F43" s="135"/>
    </row>
    <row r="44">
      <c r="A44" s="118" t="s">
        <v>204</v>
      </c>
      <c r="B44" s="69" t="s">
        <v>111</v>
      </c>
      <c r="C44" s="137" t="s">
        <v>112</v>
      </c>
      <c r="D44" s="137" t="s">
        <v>113</v>
      </c>
      <c r="E44" s="104" t="s">
        <v>96</v>
      </c>
      <c r="F44" s="104" t="s">
        <v>97</v>
      </c>
      <c r="G44" s="13">
        <f>IFERROR(__xludf.DUMMYFUNCTION("countif(F:F,""Primary - Top"")-arrayformula(COUNTUNIQUE('5) Release_Track'!F7:F126&amp;'5) Release_Track'!G7:G126))"),4.0)</f>
        <v>4</v>
      </c>
    </row>
    <row r="45">
      <c r="A45" s="78" t="s">
        <v>140</v>
      </c>
      <c r="B45" s="139" t="s">
        <v>140</v>
      </c>
      <c r="C45" s="106" t="s">
        <v>141</v>
      </c>
      <c r="E45" s="107" t="s">
        <v>142</v>
      </c>
      <c r="F45" s="35" t="s">
        <v>79</v>
      </c>
      <c r="G45" s="109" t="s">
        <v>200</v>
      </c>
    </row>
    <row r="46">
      <c r="A46" s="174" t="s">
        <v>209</v>
      </c>
      <c r="B46" s="171">
        <v>13296.0</v>
      </c>
      <c r="C46" s="114" t="s">
        <v>194</v>
      </c>
      <c r="D46" s="114" t="str">
        <f t="shared" ref="D46:D49" si="6">if(and(isblank($A46),isblank($B46)),"", if(and(not(isblank($B46)),$B46=$B45,$A46&lt;&gt;$A45),"ID LISTS UNALIGNED",if(not(isblank($A46)),ifna(VLOOKUP($A46,$F$37:$I$39,4,false),"NO ISRC MATCH in Release_Track"),ifna(VLOOKUP($B46,$G$37:$I$39,2,false),"NO CATALOG ID MATCH in Release_Track") )))</f>
        <v/>
      </c>
      <c r="E46" s="171" t="s">
        <v>181</v>
      </c>
      <c r="F46" s="177" t="s">
        <v>201</v>
      </c>
    </row>
    <row r="47">
      <c r="A47" s="174" t="s">
        <v>209</v>
      </c>
      <c r="B47" s="171">
        <v>13296.0</v>
      </c>
      <c r="C47" s="114" t="s">
        <v>194</v>
      </c>
      <c r="D47" s="114" t="str">
        <f t="shared" si="6"/>
        <v/>
      </c>
      <c r="E47" s="171" t="s">
        <v>183</v>
      </c>
      <c r="F47" s="177" t="s">
        <v>202</v>
      </c>
    </row>
    <row r="48">
      <c r="A48" s="174" t="s">
        <v>212</v>
      </c>
      <c r="B48" s="171">
        <v>13295.0</v>
      </c>
      <c r="C48" s="114" t="s">
        <v>194</v>
      </c>
      <c r="D48" s="114" t="str">
        <f t="shared" si="6"/>
        <v>Instrumental</v>
      </c>
      <c r="E48" s="171" t="s">
        <v>181</v>
      </c>
      <c r="F48" s="177" t="s">
        <v>201</v>
      </c>
      <c r="G48" s="28"/>
    </row>
    <row r="49">
      <c r="A49" s="174" t="s">
        <v>215</v>
      </c>
      <c r="B49" s="174">
        <v>13452.0</v>
      </c>
      <c r="C49" s="114" t="s">
        <v>216</v>
      </c>
      <c r="D49" s="114" t="str">
        <f t="shared" si="6"/>
        <v>Instrumental</v>
      </c>
      <c r="E49" s="171" t="s">
        <v>181</v>
      </c>
      <c r="F49" s="177" t="s">
        <v>201</v>
      </c>
      <c r="G49" s="28"/>
    </row>
    <row r="51">
      <c r="A51" s="186" t="s">
        <v>219</v>
      </c>
      <c r="B51" s="187"/>
    </row>
    <row r="52">
      <c r="A52" s="14" t="s">
        <v>144</v>
      </c>
      <c r="B52" s="13">
        <f>IFERROR(__xludf.DUMMYFUNCTION("COUNTUNIQUE(A56:A126)"),12.0)</f>
        <v>12</v>
      </c>
      <c r="D52" s="14" t="s">
        <v>145</v>
      </c>
      <c r="E52" s="13">
        <f>IFERROR(__xludf.DUMMYFUNCTION("COUNTUNIQUE(D56:D126)"),4.0)</f>
        <v>4</v>
      </c>
    </row>
    <row r="53">
      <c r="A53" s="22" t="s">
        <v>27</v>
      </c>
      <c r="B53" s="16" t="s">
        <v>37</v>
      </c>
      <c r="D53" s="143" t="s">
        <v>29</v>
      </c>
      <c r="E53" s="16" t="s">
        <v>37</v>
      </c>
    </row>
    <row r="54">
      <c r="A54" s="104" t="s">
        <v>146</v>
      </c>
      <c r="B54" s="168">
        <v>0.0</v>
      </c>
      <c r="D54" s="118" t="s">
        <v>147</v>
      </c>
      <c r="E54" s="168">
        <v>0.0</v>
      </c>
    </row>
    <row r="55">
      <c r="A55" s="35" t="s">
        <v>38</v>
      </c>
      <c r="D55" s="78" t="s">
        <v>149</v>
      </c>
    </row>
    <row r="56">
      <c r="A56" s="188" t="s">
        <v>220</v>
      </c>
      <c r="D56" s="189" t="s">
        <v>221</v>
      </c>
    </row>
    <row r="57">
      <c r="A57" s="188" t="s">
        <v>222</v>
      </c>
      <c r="D57" s="189" t="s">
        <v>223</v>
      </c>
    </row>
    <row r="58">
      <c r="A58" s="190"/>
    </row>
    <row r="59">
      <c r="A59" s="186" t="s">
        <v>224</v>
      </c>
      <c r="B59" s="187"/>
    </row>
    <row r="60">
      <c r="A60" s="13" t="str">
        <f>IFERROR(__xludf.DUMMYFUNCTION("COUNTUNIQUE(A64:A126)-#REF!"),"#REF!")</f>
        <v>#REF!</v>
      </c>
      <c r="B60" s="13" t="str">
        <f>IFERROR(__xludf.DUMMYFUNCTION("COUNTUNIQUE(B64:B126)-#REF!"),"#REF!")</f>
        <v>#REF!</v>
      </c>
      <c r="C60" s="147" t="s">
        <v>94</v>
      </c>
      <c r="D60" s="106"/>
      <c r="E60" s="13">
        <f>IFERROR(__xludf.DUMMYFUNCTION("COUNTUNIQUE(E64:E126)"),4.0)</f>
        <v>4</v>
      </c>
      <c r="F60" s="22" t="s">
        <v>27</v>
      </c>
      <c r="G60" s="148">
        <f>IFERROR(__xludf.DUMMYFUNCTION("sum(G64:G126)-arrayformula(COUNTUNIQUE(A64:A126&amp;B64:B126))"),-3.0)</f>
        <v>-3</v>
      </c>
      <c r="H60" s="106"/>
      <c r="I60" s="13">
        <f>countif(I64:I126,"Published (managed by a publisher)")</f>
        <v>2</v>
      </c>
      <c r="J60" s="13">
        <f>COUNTA(J64:J126)</f>
        <v>6</v>
      </c>
      <c r="K60" s="13">
        <f>IFERROR(__xludf.DUMMYFUNCTION("COUNTUNIQUE(J64:J126)"),4.0)</f>
        <v>4</v>
      </c>
    </row>
    <row r="61">
      <c r="A61" s="149" t="s">
        <v>155</v>
      </c>
      <c r="B61" s="102"/>
      <c r="C61" s="135"/>
      <c r="D61" s="135"/>
      <c r="E61" s="135"/>
      <c r="F61" s="135"/>
      <c r="G61" s="102"/>
      <c r="H61" s="135"/>
      <c r="I61" s="135"/>
      <c r="J61" s="135"/>
      <c r="K61" s="150" t="s">
        <v>29</v>
      </c>
      <c r="L61" s="151"/>
    </row>
    <row r="62">
      <c r="A62" s="118" t="s">
        <v>204</v>
      </c>
      <c r="B62" s="69" t="s">
        <v>111</v>
      </c>
      <c r="C62" s="137" t="s">
        <v>112</v>
      </c>
      <c r="D62" s="137" t="s">
        <v>113</v>
      </c>
      <c r="E62" s="104" t="s">
        <v>156</v>
      </c>
      <c r="F62" s="104" t="s">
        <v>157</v>
      </c>
      <c r="G62" s="152" t="s">
        <v>158</v>
      </c>
      <c r="H62" s="137" t="s">
        <v>159</v>
      </c>
      <c r="I62" s="104" t="s">
        <v>160</v>
      </c>
      <c r="J62" s="66" t="s">
        <v>161</v>
      </c>
    </row>
    <row r="63">
      <c r="A63" s="78" t="s">
        <v>140</v>
      </c>
      <c r="B63" s="139" t="s">
        <v>140</v>
      </c>
      <c r="C63" s="106" t="s">
        <v>141</v>
      </c>
      <c r="E63" s="107" t="s">
        <v>162</v>
      </c>
      <c r="F63" s="35" t="s">
        <v>79</v>
      </c>
      <c r="G63" s="153" t="s">
        <v>163</v>
      </c>
      <c r="H63" s="106" t="s">
        <v>164</v>
      </c>
      <c r="I63" s="35" t="s">
        <v>79</v>
      </c>
      <c r="J63" s="154" t="s">
        <v>165</v>
      </c>
    </row>
    <row r="64">
      <c r="A64" s="174" t="s">
        <v>209</v>
      </c>
      <c r="B64" s="171">
        <v>13296.0</v>
      </c>
      <c r="C64" s="114" t="s">
        <v>194</v>
      </c>
      <c r="D64" s="114" t="str">
        <f t="shared" ref="D64:D67" si="7">if(and(isblank($A64),isblank($B64)),"", if(and(not(isblank($B64)),$B64=$B63,$A64&lt;&gt;$A63),"ID LISTS UNALIGNED",if(not(isblank($A64)),ifna(VLOOKUP($A64,$F$37:$I$39,4,false),"NO ISRC MATCH in Release_Track"),ifna(VLOOKUP($B64,$G$37:$I$39,2,false),"NO CATALOG ID MATCH in Release_Track") )))</f>
        <v/>
      </c>
      <c r="E64" s="171" t="s">
        <v>220</v>
      </c>
      <c r="F64" s="182" t="s">
        <v>166</v>
      </c>
      <c r="G64" s="191">
        <v>0.5</v>
      </c>
      <c r="H64" s="157">
        <f t="shared" ref="H64:H67" si="8">if(isblank(G64),"",if(not(iserror(find("MATCH in ",D64))),D64,if(and(not(isblank($B64)),$B64=$B63,$A64&lt;&gt;$A63),"ID LISTS UNALIGNED",if(not(isblank($A64)),if($A64=$A63,G64+H63,G64),if($B64=$B63,G64+H63,G64)))))</f>
        <v>0.5</v>
      </c>
      <c r="I64" s="171" t="s">
        <v>168</v>
      </c>
      <c r="J64" s="192" t="s">
        <v>221</v>
      </c>
    </row>
    <row r="65">
      <c r="A65" s="174" t="s">
        <v>209</v>
      </c>
      <c r="B65" s="171">
        <v>13296.0</v>
      </c>
      <c r="C65" s="114" t="s">
        <v>194</v>
      </c>
      <c r="D65" s="114" t="str">
        <f t="shared" si="7"/>
        <v/>
      </c>
      <c r="E65" s="171" t="s">
        <v>222</v>
      </c>
      <c r="F65" s="182" t="s">
        <v>225</v>
      </c>
      <c r="G65" s="191">
        <v>0.5</v>
      </c>
      <c r="H65" s="157">
        <f t="shared" si="8"/>
        <v>1</v>
      </c>
      <c r="I65" s="171" t="s">
        <v>167</v>
      </c>
      <c r="J65" s="192"/>
    </row>
    <row r="66">
      <c r="A66" s="174" t="s">
        <v>212</v>
      </c>
      <c r="B66" s="171">
        <v>13295.0</v>
      </c>
      <c r="C66" s="114" t="s">
        <v>194</v>
      </c>
      <c r="D66" s="114" t="str">
        <f t="shared" si="7"/>
        <v>Instrumental</v>
      </c>
      <c r="E66" s="171" t="s">
        <v>220</v>
      </c>
      <c r="F66" s="182" t="s">
        <v>166</v>
      </c>
      <c r="G66" s="193">
        <v>1.0</v>
      </c>
      <c r="H66" s="157">
        <f t="shared" si="8"/>
        <v>1</v>
      </c>
      <c r="I66" s="171" t="s">
        <v>167</v>
      </c>
      <c r="J66" s="192"/>
    </row>
    <row r="67">
      <c r="A67" s="174" t="s">
        <v>215</v>
      </c>
      <c r="B67" s="174">
        <v>13452.0</v>
      </c>
      <c r="C67" s="114" t="s">
        <v>216</v>
      </c>
      <c r="D67" s="114" t="str">
        <f t="shared" si="7"/>
        <v>Instrumental</v>
      </c>
      <c r="E67" s="171" t="s">
        <v>220</v>
      </c>
      <c r="F67" s="182" t="s">
        <v>166</v>
      </c>
      <c r="G67" s="193">
        <v>1.0</v>
      </c>
      <c r="H67" s="157">
        <f t="shared" si="8"/>
        <v>1</v>
      </c>
      <c r="I67" s="171" t="s">
        <v>168</v>
      </c>
      <c r="J67" s="192" t="s">
        <v>223</v>
      </c>
    </row>
    <row r="70">
      <c r="A70" s="101" t="s">
        <v>169</v>
      </c>
      <c r="B70" s="102"/>
      <c r="C70" s="135"/>
      <c r="D70" s="135"/>
      <c r="E70" s="135"/>
      <c r="F70" s="135"/>
      <c r="G70" s="135"/>
      <c r="H70" s="135"/>
      <c r="I70" s="135"/>
      <c r="J70" s="135"/>
      <c r="K70" s="135"/>
      <c r="L70" s="135"/>
    </row>
    <row r="71">
      <c r="A71" s="118" t="s">
        <v>110</v>
      </c>
      <c r="B71" s="69" t="s">
        <v>111</v>
      </c>
      <c r="C71" s="137" t="s">
        <v>112</v>
      </c>
      <c r="D71" s="137" t="s">
        <v>113</v>
      </c>
      <c r="E71" s="104"/>
      <c r="F71" s="104"/>
      <c r="G71" s="161" t="s">
        <v>170</v>
      </c>
      <c r="H71" s="104"/>
      <c r="I71" s="104"/>
      <c r="J71" s="104"/>
      <c r="K71" s="104"/>
      <c r="L71" s="104"/>
    </row>
    <row r="72">
      <c r="A72" s="78" t="s">
        <v>140</v>
      </c>
      <c r="B72" s="139" t="s">
        <v>140</v>
      </c>
      <c r="C72" s="106" t="s">
        <v>141</v>
      </c>
      <c r="E72" s="124" t="s">
        <v>171</v>
      </c>
      <c r="F72" s="35" t="s">
        <v>172</v>
      </c>
      <c r="G72" s="35" t="s">
        <v>173</v>
      </c>
      <c r="H72" s="124" t="s">
        <v>174</v>
      </c>
      <c r="I72" s="124" t="s">
        <v>175</v>
      </c>
      <c r="J72" s="124" t="s">
        <v>176</v>
      </c>
      <c r="K72" s="124" t="s">
        <v>177</v>
      </c>
      <c r="L72" s="124" t="s">
        <v>178</v>
      </c>
    </row>
    <row r="73">
      <c r="A73" s="171" t="s">
        <v>209</v>
      </c>
      <c r="B73" s="171">
        <v>13296.0</v>
      </c>
      <c r="C73" s="114" t="s">
        <v>194</v>
      </c>
      <c r="D73" s="114" t="str">
        <f t="shared" ref="D73:D75" si="9">if(and(isblank($A73),isblank($B73)),"", if(and(not(isblank($B73)),$B73=$B72,$A73&lt;&gt;$A72),"ID LISTS UNALIGNED",if(not(isblank($A73)),ifna(VLOOKUP($A73,$F$37:$I$39,4,false),"NO ISRC MATCH in Release_Track"),ifna(VLOOKUP($B73,$G$37:$I$39,2,false),"NO CATALOG ID MATCH in Release_Track") )))</f>
        <v/>
      </c>
      <c r="E73" s="130" t="b">
        <v>0</v>
      </c>
      <c r="F73" s="130" t="b">
        <v>0</v>
      </c>
      <c r="G73" s="130" t="b">
        <v>0</v>
      </c>
      <c r="H73" s="130" t="b">
        <v>0</v>
      </c>
      <c r="I73" s="130" t="b">
        <v>0</v>
      </c>
      <c r="J73" s="130" t="b">
        <v>0</v>
      </c>
      <c r="K73" s="130" t="b">
        <v>0</v>
      </c>
      <c r="L73" s="8" t="b">
        <v>1</v>
      </c>
    </row>
    <row r="74">
      <c r="A74" s="171" t="s">
        <v>212</v>
      </c>
      <c r="B74" s="171">
        <v>13295.0</v>
      </c>
      <c r="C74" s="114" t="s">
        <v>194</v>
      </c>
      <c r="D74" s="114" t="str">
        <f t="shared" si="9"/>
        <v>Instrumental</v>
      </c>
      <c r="E74" s="130" t="b">
        <v>0</v>
      </c>
      <c r="F74" s="130" t="b">
        <v>0</v>
      </c>
      <c r="G74" s="130" t="b">
        <v>0</v>
      </c>
      <c r="H74" s="130" t="b">
        <v>0</v>
      </c>
      <c r="I74" s="130" t="b">
        <v>0</v>
      </c>
      <c r="J74" s="130" t="b">
        <v>0</v>
      </c>
      <c r="K74" s="130" t="b">
        <v>0</v>
      </c>
      <c r="L74" s="8" t="b">
        <v>1</v>
      </c>
    </row>
    <row r="75">
      <c r="A75" s="171" t="s">
        <v>215</v>
      </c>
      <c r="B75" s="174">
        <v>13452.0</v>
      </c>
      <c r="C75" s="114" t="s">
        <v>216</v>
      </c>
      <c r="D75" s="114" t="str">
        <f t="shared" si="9"/>
        <v>Instrumental</v>
      </c>
      <c r="E75" s="130" t="b">
        <v>0</v>
      </c>
      <c r="F75" s="130" t="b">
        <v>0</v>
      </c>
      <c r="G75" s="130" t="b">
        <v>0</v>
      </c>
      <c r="H75" s="130" t="b">
        <v>0</v>
      </c>
      <c r="I75" s="130" t="b">
        <v>0</v>
      </c>
      <c r="J75" s="130" t="b">
        <v>0</v>
      </c>
      <c r="K75" s="130" t="b">
        <v>0</v>
      </c>
      <c r="L75" s="8" t="b">
        <v>1</v>
      </c>
    </row>
    <row r="76">
      <c r="A76" s="93"/>
      <c r="B76" s="93"/>
      <c r="E76" s="130"/>
      <c r="F76" s="130"/>
      <c r="G76" s="130"/>
      <c r="H76" s="130"/>
      <c r="I76" s="130"/>
      <c r="J76" s="130"/>
      <c r="K76" s="130"/>
    </row>
    <row r="77">
      <c r="B77" s="93"/>
      <c r="E77" s="130"/>
      <c r="F77" s="130"/>
      <c r="G77" s="130"/>
      <c r="H77" s="130"/>
      <c r="I77" s="130"/>
      <c r="J77" s="130"/>
      <c r="K77" s="130"/>
    </row>
    <row r="78">
      <c r="B78" s="93"/>
      <c r="E78" s="130"/>
      <c r="F78" s="130"/>
      <c r="G78" s="130"/>
      <c r="H78" s="130"/>
      <c r="I78" s="130"/>
      <c r="J78" s="130"/>
      <c r="K78" s="130"/>
    </row>
  </sheetData>
  <mergeCells count="9">
    <mergeCell ref="C63:D63"/>
    <mergeCell ref="C72:D72"/>
    <mergeCell ref="C28:D28"/>
    <mergeCell ref="C36:D36"/>
    <mergeCell ref="C45:D45"/>
    <mergeCell ref="A56:B56"/>
    <mergeCell ref="D56:E56"/>
    <mergeCell ref="A57:B57"/>
    <mergeCell ref="D57:E57"/>
  </mergeCells>
  <conditionalFormatting sqref="A73:A78">
    <cfRule type="expression" dxfId="3" priority="1">
      <formula>and(countif(A:A,A73)&gt;countif(C:C,C73),C73&lt;&gt;"")</formula>
    </cfRule>
  </conditionalFormatting>
  <conditionalFormatting sqref="A73:A78">
    <cfRule type="expression" dxfId="3" priority="2">
      <formula>or(and(#REF!&lt;&gt;"",A73&lt;&gt;"",#REF!=#REF!,A73=#REF!),and(#REF!&lt;&gt;"",#REF!&lt;&gt;"",#REF!=#REF!,A73=#REF!))</formula>
    </cfRule>
  </conditionalFormatting>
  <conditionalFormatting sqref="A73:A78">
    <cfRule type="expression" dxfId="3" priority="3">
      <formula>"=COUNTIFS(A:A, A5, F:F, "Primary - Top") &gt; 1'"</formula>
    </cfRule>
  </conditionalFormatting>
  <conditionalFormatting sqref="A73:A78">
    <cfRule type="expression" dxfId="5" priority="4">
      <formula>and(A73&lt;&gt;"",B73&lt;&gt;"",countif(A:A,A73)&lt;&gt;countif(B:B,B73))</formula>
    </cfRule>
  </conditionalFormatting>
  <conditionalFormatting sqref="A76 B76:B78">
    <cfRule type="expression" dxfId="5" priority="5">
      <formula>and(#REF!&lt;&gt;"",A76&lt;&gt;"",countif(#REF!,#REF!)&lt;&gt;countif(A:A,A76))</formula>
    </cfRule>
  </conditionalFormatting>
  <conditionalFormatting sqref="E73:K78">
    <cfRule type="expression" dxfId="9" priority="6">
      <formula>$L73=true</formula>
    </cfRule>
  </conditionalFormatting>
  <conditionalFormatting sqref="L73:L78">
    <cfRule type="expression" dxfId="9" priority="7">
      <formula>OR($E73:$K73)</formula>
    </cfRule>
  </conditionalFormatting>
  <conditionalFormatting sqref="A25:B25 A33:B33 A42:B42 G60">
    <cfRule type="cellIs" dxfId="3" priority="8" operator="notEqual">
      <formula>0</formula>
    </cfRule>
  </conditionalFormatting>
  <conditionalFormatting sqref="B14 B54 E54">
    <cfRule type="cellIs" dxfId="1" priority="9" operator="equal">
      <formula>0</formula>
    </cfRule>
  </conditionalFormatting>
  <conditionalFormatting sqref="B14 B54 E54">
    <cfRule type="cellIs" dxfId="2" priority="10" operator="notEqual">
      <formula>0</formula>
    </cfRule>
  </conditionalFormatting>
  <conditionalFormatting sqref="H64:H67">
    <cfRule type="cellIs" dxfId="1" priority="11" operator="equal">
      <formula>1</formula>
    </cfRule>
  </conditionalFormatting>
  <conditionalFormatting sqref="H64:H67">
    <cfRule type="cellIs" dxfId="6" priority="12" operator="greaterThan">
      <formula>1</formula>
    </cfRule>
  </conditionalFormatting>
  <conditionalFormatting sqref="H64:H67">
    <cfRule type="expression" dxfId="2" priority="13">
      <formula>or(and(H64&lt;1,H65&lt;&gt;"",C64&lt;&gt;C65),and(H64&lt;1,H65&lt;&gt;"",D64&lt;&gt;D65))</formula>
    </cfRule>
  </conditionalFormatting>
  <conditionalFormatting sqref="J64:J67">
    <cfRule type="expression" dxfId="10" priority="14">
      <formula>and(I64="Published (managed by a publisher)",J64="")</formula>
    </cfRule>
  </conditionalFormatting>
  <conditionalFormatting sqref="J64:J67">
    <cfRule type="expression" dxfId="2" priority="15">
      <formula>and(I64&lt;&gt;"Published (managed by a publisher)",J64&lt;&gt;"")</formula>
    </cfRule>
  </conditionalFormatting>
  <dataValidations>
    <dataValidation type="list" allowBlank="1" showInputMessage="1" showErrorMessage="1" prompt="select from list, start typing or drag" sqref="G22 J37:J39">
      <formula1>Language</formula1>
    </dataValidation>
    <dataValidation type="list" allowBlank="1" showInputMessage="1" showErrorMessage="1" prompt="select from list, start typing or drag" sqref="L37:L39">
      <formula1>"Original,Public domain"</formula1>
    </dataValidation>
    <dataValidation type="custom" allowBlank="1" showDropDown="1" showInputMessage="1" showErrorMessage="1" prompt="Enter a Valid Year from after 1899" sqref="J22 L22">
      <formula1>and(INT(J22)=J22,J22&gt;=1900,J22&lt;=Year(Now())+1)</formula1>
    </dataValidation>
    <dataValidation type="list" allowBlank="1" showInputMessage="1" showErrorMessage="1" prompt="select from list, start typing or drag" sqref="K37:K39">
      <formula1>"YES,NO"</formula1>
    </dataValidation>
    <dataValidation type="list" allowBlank="1" showInputMessage="1" showErrorMessage="1" prompt="select from Labels list, start typing or drag" sqref="A22">
      <formula1>'Sample Data'!$A$15</formula1>
    </dataValidation>
    <dataValidation type="list" allowBlank="1" showInputMessage="1" showErrorMessage="1" prompt="select from list, start typing or drag" sqref="I22">
      <formula1>ReleaseType</formula1>
    </dataValidation>
    <dataValidation type="custom" allowBlank="1" showDropDown="1" showInputMessage="1" showErrorMessage="1" prompt="Only positive numeric values up to 100%: max 2 decimals in Percent format, e.g. 33.34%; or max 4 decimals in Number format, e.g. 0.3334;" sqref="G64:G67">
      <formula1>and(INT(G64*10000)=G64*10000,G64&gt;0,G64&lt;=1)</formula1>
    </dataValidation>
    <dataValidation type="list" allowBlank="1" showInputMessage="1" showErrorMessage="1" prompt="select from list, start typing or drag" sqref="C22">
      <formula1>"jpeg,jpg"</formula1>
    </dataValidation>
    <dataValidation type="list" allowBlank="1" showInputMessage="1" showErrorMessage="1" prompt="select from Comp Contributors list, start typing or drag" sqref="E64:E67">
      <formula1>'Sample Data'!$A$56:$A$57</formula1>
    </dataValidation>
    <dataValidation type="list" allowBlank="1" showInputMessage="1" showErrorMessage="1" prompt="select from list, start typing or drag" sqref="F29:F30 F46:F49">
      <formula1>ArtistRole</formula1>
    </dataValidation>
    <dataValidation type="custom" allowBlank="1" showDropDown="1" showInputMessage="1" showErrorMessage="1" prompt="Enter a valid date" sqref="N22">
      <formula1>OR(NOT(ISERROR(DATEVALUE(N22))), AND(ISNUMBER(N22), LEFT(CELL("format", N22))="D"))</formula1>
    </dataValidation>
    <dataValidation type="custom" allowBlank="1" showDropDown="1" showInputMessage="1" showErrorMessage="1" prompt="Enter a valid UPC/EAN/JAN" sqref="D22 A29:A30 A37:A39">
      <formula1>and(INT(A22)=A22,A22&gt;99999999999)</formula1>
    </dataValidation>
    <dataValidation type="list" allowBlank="1" showInputMessage="1" showErrorMessage="1" prompt="select from list, start typing or drag" sqref="O22:P22">
      <formula1>Genre</formula1>
    </dataValidation>
    <dataValidation type="custom" allowBlank="1" showDropDown="1" showInputMessage="1" showErrorMessage="1" prompt="Enter a value that satisfies the formula: =and(regexmatch(B5,&quot;^[a-zA-Z0-9]*$&quot;), len(B5)&gt;=3, len(B5)&lt;=20)" sqref="A76:B76 B77:B78">
      <formula1>and(regexmatch(A76,"^[a-zA-Z0-9]*$"), len(A76)&gt;=3, len(A76)&lt;=20)</formula1>
    </dataValidation>
    <dataValidation type="list" allowBlank="1" showInputMessage="1" showErrorMessage="1" prompt="select from list, start typing or drag" sqref="F64:F67">
      <formula1>CompositionRole</formula1>
    </dataValidation>
    <dataValidation type="list" allowBlank="1" showInputMessage="1" showErrorMessage="1" prompt="select from Artists list, start typing or drag" sqref="E29:E30 E46:E49">
      <formula1>'Sample Data'!$A$7:$A$8</formula1>
    </dataValidation>
    <dataValidation type="list" allowBlank="1" showInputMessage="1" showErrorMessage="1" prompt="Click and enter a value frselect from list, start typing or dragom range" sqref="I64:I67">
      <formula1>Publishing</formula1>
    </dataValidation>
    <dataValidation type="list" allowBlank="1" showInputMessage="1" showErrorMessage="1" prompt="Fill out ONLY when 'Published (managed by a publisher)' selected for Publishing; select from Publisher list, start typing or drag" sqref="J64:J67">
      <formula1>'Sample Data'!$D$56:$E$57</formula1>
    </dataValidation>
  </dataValidations>
  <hyperlinks>
    <hyperlink r:id="rId2" ref="B7"/>
    <hyperlink r:id="rId3" ref="B22"/>
    <hyperlink r:id="rId4" ref="M37"/>
    <hyperlink r:id="rId5" ref="M38"/>
    <hyperlink r:id="rId6" ref="M39"/>
  </hyperlinks>
  <drawing r:id="rId7"/>
  <legacy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11E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38"/>
    <col customWidth="1" min="2" max="2" width="30.38"/>
    <col customWidth="1" min="3" max="3" width="29.38"/>
    <col customWidth="1" min="4" max="9" width="12.13"/>
    <col customWidth="1" min="10" max="10" width="29.25"/>
    <col customWidth="1" min="11" max="11" width="21.75"/>
    <col customWidth="1" min="12" max="12" width="10.63"/>
    <col customWidth="1" min="13" max="13" width="11.25"/>
    <col customWidth="1" min="14" max="14" width="11.38"/>
    <col customWidth="1" min="15" max="15" width="27.0"/>
    <col customWidth="1" min="16" max="18" width="20.0"/>
    <col customWidth="1" min="19" max="19" width="12.13"/>
  </cols>
  <sheetData>
    <row r="1">
      <c r="A1" s="194"/>
      <c r="B1" s="195"/>
      <c r="D1" s="196"/>
      <c r="E1" s="196"/>
      <c r="G1" s="197" t="s">
        <v>226</v>
      </c>
      <c r="H1" s="198">
        <f>IFERROR(__xludf.DUMMYFUNCTION("COUNTUNIQUE((H3:H430))"),424.0)</f>
        <v>424</v>
      </c>
      <c r="I1" s="198">
        <f>IFERROR(__xludf.DUMMYFUNCTION("COUNTUNIQUE((I3:I430))"),428.0)</f>
        <v>428</v>
      </c>
      <c r="J1" s="199">
        <f>IFERROR(__xludf.DUMMYFUNCTION("COUNTUNIQUE((J3:J430))"),403.0)</f>
        <v>403</v>
      </c>
      <c r="K1" s="199">
        <f>IFERROR(__xludf.DUMMYFUNCTION("COUNTUNIQUE((K3:K430))"),191.0)</f>
        <v>191</v>
      </c>
      <c r="L1" s="200"/>
      <c r="M1" s="199">
        <f>IFERROR(__xludf.DUMMYFUNCTION("COUNTUNIQUE((M3:M430))"),4.0)</f>
        <v>4</v>
      </c>
      <c r="N1" s="200"/>
      <c r="O1" s="199">
        <f>IFERROR(__xludf.DUMMYFUNCTION("COUNTUNIQUE((O3:O430))"),3.0)</f>
        <v>3</v>
      </c>
      <c r="P1" s="200"/>
      <c r="Q1" s="199">
        <f>IFERROR(__xludf.DUMMYFUNCTION("COUNTUNIQUE((Q3:Q430))"),10.0)</f>
        <v>10</v>
      </c>
      <c r="R1" s="199">
        <f>IFERROR(__xludf.DUMMYFUNCTION("COUNTUNIQUE((R3:R430))"),7.0)</f>
        <v>7</v>
      </c>
      <c r="S1" s="199">
        <f>IFERROR(__xludf.DUMMYFUNCTION("COUNTUNIQUE((S3:S430))"),3.0)</f>
        <v>3</v>
      </c>
    </row>
    <row r="2">
      <c r="B2" s="195"/>
      <c r="D2" s="196"/>
      <c r="E2" s="196"/>
      <c r="G2" s="201" t="s">
        <v>65</v>
      </c>
      <c r="H2" s="202" t="s">
        <v>227</v>
      </c>
      <c r="I2" s="203" t="s">
        <v>228</v>
      </c>
      <c r="J2" s="204" t="s">
        <v>97</v>
      </c>
      <c r="K2" s="205" t="s">
        <v>229</v>
      </c>
      <c r="L2" s="206" t="s">
        <v>230</v>
      </c>
      <c r="M2" s="206" t="s">
        <v>231</v>
      </c>
      <c r="N2" s="206" t="s">
        <v>232</v>
      </c>
      <c r="O2" s="201" t="s">
        <v>233</v>
      </c>
      <c r="P2" s="204" t="s">
        <v>234</v>
      </c>
      <c r="Q2" s="204" t="s">
        <v>235</v>
      </c>
      <c r="R2" s="204" t="s">
        <v>236</v>
      </c>
      <c r="S2" s="207" t="s">
        <v>237</v>
      </c>
    </row>
    <row r="3">
      <c r="A3" s="208" t="s">
        <v>238</v>
      </c>
      <c r="B3" s="209"/>
      <c r="C3" s="209"/>
      <c r="D3" s="209"/>
      <c r="E3" s="209"/>
      <c r="G3" s="210" t="s">
        <v>239</v>
      </c>
      <c r="H3" s="211" t="s">
        <v>240</v>
      </c>
      <c r="I3" s="212">
        <v>70.0</v>
      </c>
      <c r="J3" s="213" t="s">
        <v>103</v>
      </c>
      <c r="K3" s="214" t="s">
        <v>241</v>
      </c>
      <c r="L3" s="215">
        <v>66.0</v>
      </c>
      <c r="M3" s="46" t="s">
        <v>242</v>
      </c>
      <c r="N3" s="89">
        <v>2.0</v>
      </c>
      <c r="O3" s="46" t="s">
        <v>167</v>
      </c>
      <c r="P3" s="89">
        <v>1.0</v>
      </c>
      <c r="Q3" s="46" t="s">
        <v>243</v>
      </c>
      <c r="R3" s="214" t="s">
        <v>244</v>
      </c>
      <c r="S3" s="34" t="s">
        <v>211</v>
      </c>
    </row>
    <row r="4">
      <c r="A4" s="216" t="s">
        <v>245</v>
      </c>
      <c r="B4" s="217"/>
      <c r="C4" s="217"/>
      <c r="D4" s="217"/>
      <c r="E4" s="217"/>
      <c r="G4" s="218" t="s">
        <v>246</v>
      </c>
      <c r="H4" s="211" t="s">
        <v>247</v>
      </c>
      <c r="I4" s="212">
        <v>255.0</v>
      </c>
      <c r="J4" s="219" t="s">
        <v>248</v>
      </c>
      <c r="K4" s="214" t="s">
        <v>249</v>
      </c>
      <c r="L4" s="215">
        <v>67.0</v>
      </c>
      <c r="M4" s="46" t="s">
        <v>132</v>
      </c>
      <c r="N4" s="89">
        <v>1.0</v>
      </c>
      <c r="O4" s="46" t="s">
        <v>168</v>
      </c>
      <c r="P4" s="215">
        <v>2.0</v>
      </c>
      <c r="Q4" s="214" t="s">
        <v>250</v>
      </c>
      <c r="R4" s="214" t="s">
        <v>251</v>
      </c>
      <c r="S4" s="220" t="s">
        <v>134</v>
      </c>
    </row>
    <row r="5">
      <c r="A5" s="221" t="s">
        <v>252</v>
      </c>
      <c r="C5" s="222" t="s">
        <v>253</v>
      </c>
      <c r="E5" s="217"/>
      <c r="G5" s="218" t="s">
        <v>90</v>
      </c>
      <c r="H5" s="211" t="s">
        <v>254</v>
      </c>
      <c r="I5" s="212">
        <v>229.0</v>
      </c>
      <c r="J5" s="213" t="s">
        <v>255</v>
      </c>
      <c r="K5" s="214" t="s">
        <v>256</v>
      </c>
      <c r="L5" s="215">
        <v>4.0</v>
      </c>
      <c r="M5" s="46" t="s">
        <v>257</v>
      </c>
      <c r="N5" s="89">
        <v>3.0</v>
      </c>
      <c r="O5" s="46" t="s">
        <v>258</v>
      </c>
      <c r="P5" s="215">
        <v>3.0</v>
      </c>
      <c r="Q5" s="214" t="s">
        <v>259</v>
      </c>
      <c r="R5" s="214" t="s">
        <v>260</v>
      </c>
      <c r="S5" s="220" t="s">
        <v>261</v>
      </c>
    </row>
    <row r="6">
      <c r="A6" s="223" t="s">
        <v>262</v>
      </c>
      <c r="B6" s="223" t="s">
        <v>263</v>
      </c>
      <c r="C6" s="223" t="s">
        <v>262</v>
      </c>
      <c r="D6" s="223" t="s">
        <v>263</v>
      </c>
      <c r="E6" s="217"/>
      <c r="G6" s="214" t="s">
        <v>264</v>
      </c>
      <c r="H6" s="211" t="s">
        <v>265</v>
      </c>
      <c r="I6" s="212">
        <v>292.0</v>
      </c>
      <c r="J6" s="214" t="s">
        <v>202</v>
      </c>
      <c r="K6" s="224" t="s">
        <v>266</v>
      </c>
      <c r="L6" s="225">
        <v>68.0</v>
      </c>
      <c r="M6" s="34" t="s">
        <v>267</v>
      </c>
      <c r="N6" s="226">
        <v>0.0</v>
      </c>
      <c r="O6" s="34"/>
      <c r="P6" s="46"/>
      <c r="Q6" s="227" t="s">
        <v>166</v>
      </c>
      <c r="R6" s="214" t="s">
        <v>268</v>
      </c>
      <c r="S6" s="34"/>
    </row>
    <row r="7">
      <c r="A7" s="228" t="s">
        <v>265</v>
      </c>
      <c r="B7" s="228" t="s">
        <v>269</v>
      </c>
      <c r="C7" s="228" t="s">
        <v>254</v>
      </c>
      <c r="D7" s="228" t="s">
        <v>270</v>
      </c>
      <c r="E7" s="217"/>
      <c r="G7" s="214" t="s">
        <v>271</v>
      </c>
      <c r="H7" s="211" t="s">
        <v>272</v>
      </c>
      <c r="I7" s="212">
        <v>554.0</v>
      </c>
      <c r="J7" s="214" t="s">
        <v>273</v>
      </c>
      <c r="K7" s="224" t="s">
        <v>274</v>
      </c>
      <c r="L7" s="225">
        <v>69.0</v>
      </c>
      <c r="M7" s="34"/>
      <c r="N7" s="34"/>
      <c r="O7" s="34"/>
      <c r="P7" s="46"/>
      <c r="Q7" s="227" t="s">
        <v>225</v>
      </c>
      <c r="R7" s="214" t="s">
        <v>275</v>
      </c>
      <c r="S7" s="34"/>
    </row>
    <row r="8">
      <c r="A8" s="228" t="s">
        <v>276</v>
      </c>
      <c r="B8" s="228" t="s">
        <v>277</v>
      </c>
      <c r="C8" s="228" t="s">
        <v>278</v>
      </c>
      <c r="D8" s="228" t="s">
        <v>279</v>
      </c>
      <c r="E8" s="217"/>
      <c r="F8" s="217"/>
      <c r="G8" s="34"/>
      <c r="H8" s="211" t="s">
        <v>92</v>
      </c>
      <c r="I8" s="212">
        <v>555.0</v>
      </c>
      <c r="J8" s="46" t="s">
        <v>280</v>
      </c>
      <c r="K8" s="214" t="s">
        <v>281</v>
      </c>
      <c r="L8" s="215">
        <v>61.0</v>
      </c>
      <c r="M8" s="34"/>
      <c r="N8" s="34"/>
      <c r="O8" s="34"/>
      <c r="P8" s="46"/>
      <c r="Q8" s="214" t="s">
        <v>282</v>
      </c>
      <c r="R8" s="214" t="s">
        <v>283</v>
      </c>
      <c r="S8" s="34"/>
    </row>
    <row r="9">
      <c r="A9" s="228" t="s">
        <v>284</v>
      </c>
      <c r="B9" s="228" t="s">
        <v>285</v>
      </c>
      <c r="C9" s="228" t="s">
        <v>286</v>
      </c>
      <c r="D9" s="228" t="s">
        <v>287</v>
      </c>
      <c r="E9" s="217"/>
      <c r="F9" s="217"/>
      <c r="G9" s="34"/>
      <c r="H9" s="211" t="s">
        <v>256</v>
      </c>
      <c r="I9" s="212">
        <v>293.0</v>
      </c>
      <c r="J9" s="229" t="s">
        <v>288</v>
      </c>
      <c r="K9" s="214" t="s">
        <v>289</v>
      </c>
      <c r="L9" s="215">
        <v>5.0</v>
      </c>
      <c r="M9" s="34"/>
      <c r="N9" s="34"/>
      <c r="O9" s="34"/>
      <c r="P9" s="46"/>
      <c r="Q9" s="214" t="s">
        <v>290</v>
      </c>
      <c r="R9" s="214" t="s">
        <v>291</v>
      </c>
      <c r="S9" s="34"/>
    </row>
    <row r="10">
      <c r="A10" s="228" t="s">
        <v>289</v>
      </c>
      <c r="B10" s="228" t="s">
        <v>292</v>
      </c>
      <c r="C10" s="228" t="s">
        <v>293</v>
      </c>
      <c r="D10" s="228" t="s">
        <v>294</v>
      </c>
      <c r="E10" s="217"/>
      <c r="F10" s="217"/>
      <c r="G10" s="34"/>
      <c r="H10" s="211" t="s">
        <v>295</v>
      </c>
      <c r="I10" s="212">
        <v>350.0</v>
      </c>
      <c r="J10" s="214" t="s">
        <v>104</v>
      </c>
      <c r="K10" s="214" t="s">
        <v>296</v>
      </c>
      <c r="L10" s="215">
        <v>70.0</v>
      </c>
      <c r="M10" s="34"/>
      <c r="N10" s="34"/>
      <c r="O10" s="34"/>
      <c r="P10" s="46"/>
      <c r="Q10" s="46" t="s">
        <v>297</v>
      </c>
      <c r="R10" s="46"/>
      <c r="S10" s="34"/>
    </row>
    <row r="11">
      <c r="A11" s="228" t="s">
        <v>298</v>
      </c>
      <c r="B11" s="228" t="s">
        <v>299</v>
      </c>
      <c r="C11" s="228" t="s">
        <v>300</v>
      </c>
      <c r="D11" s="228" t="s">
        <v>301</v>
      </c>
      <c r="E11" s="217"/>
      <c r="F11" s="217"/>
      <c r="G11" s="34"/>
      <c r="H11" s="211" t="s">
        <v>302</v>
      </c>
      <c r="I11" s="212">
        <v>409.0</v>
      </c>
      <c r="J11" s="214" t="s">
        <v>303</v>
      </c>
      <c r="K11" s="214" t="s">
        <v>304</v>
      </c>
      <c r="L11" s="215">
        <v>71.0</v>
      </c>
      <c r="M11" s="34"/>
      <c r="N11" s="34"/>
      <c r="O11" s="34"/>
      <c r="P11" s="46"/>
      <c r="Q11" s="46" t="s">
        <v>305</v>
      </c>
      <c r="R11" s="46"/>
      <c r="S11" s="34"/>
    </row>
    <row r="12">
      <c r="A12" s="228" t="s">
        <v>306</v>
      </c>
      <c r="B12" s="228" t="s">
        <v>307</v>
      </c>
      <c r="C12" s="228" t="s">
        <v>308</v>
      </c>
      <c r="D12" s="228" t="s">
        <v>270</v>
      </c>
      <c r="E12" s="217"/>
      <c r="F12" s="217"/>
      <c r="G12" s="34"/>
      <c r="H12" s="211" t="s">
        <v>309</v>
      </c>
      <c r="I12" s="212">
        <v>294.0</v>
      </c>
      <c r="J12" s="214" t="s">
        <v>310</v>
      </c>
      <c r="K12" s="214" t="s">
        <v>311</v>
      </c>
      <c r="L12" s="215">
        <v>72.0</v>
      </c>
      <c r="M12" s="34"/>
      <c r="N12" s="34"/>
      <c r="O12" s="34"/>
      <c r="P12" s="46"/>
      <c r="Q12" s="34" t="s">
        <v>312</v>
      </c>
      <c r="R12" s="46"/>
      <c r="S12" s="34"/>
    </row>
    <row r="13">
      <c r="A13" s="228" t="s">
        <v>313</v>
      </c>
      <c r="B13" s="228" t="s">
        <v>314</v>
      </c>
      <c r="C13" s="228" t="s">
        <v>315</v>
      </c>
      <c r="D13" s="228" t="s">
        <v>270</v>
      </c>
      <c r="E13" s="217"/>
      <c r="F13" s="217"/>
      <c r="G13" s="34"/>
      <c r="H13" s="211" t="s">
        <v>316</v>
      </c>
      <c r="I13" s="212">
        <v>295.0</v>
      </c>
      <c r="J13" s="220" t="s">
        <v>317</v>
      </c>
      <c r="K13" s="214" t="s">
        <v>318</v>
      </c>
      <c r="L13" s="215">
        <v>73.0</v>
      </c>
      <c r="M13" s="34"/>
      <c r="N13" s="34"/>
      <c r="O13" s="34"/>
      <c r="P13" s="34"/>
      <c r="Q13" s="46"/>
      <c r="R13" s="217"/>
      <c r="S13" s="217"/>
    </row>
    <row r="14">
      <c r="A14" s="228" t="s">
        <v>319</v>
      </c>
      <c r="B14" s="228" t="s">
        <v>320</v>
      </c>
      <c r="C14" s="228" t="s">
        <v>321</v>
      </c>
      <c r="D14" s="228" t="s">
        <v>270</v>
      </c>
      <c r="E14" s="217"/>
      <c r="F14" s="217"/>
      <c r="G14" s="34"/>
      <c r="H14" s="211" t="s">
        <v>322</v>
      </c>
      <c r="I14" s="212">
        <v>556.0</v>
      </c>
      <c r="J14" s="220" t="s">
        <v>323</v>
      </c>
      <c r="K14" s="214" t="s">
        <v>324</v>
      </c>
      <c r="L14" s="215">
        <v>74.0</v>
      </c>
      <c r="M14" s="34"/>
      <c r="N14" s="34"/>
      <c r="O14" s="34"/>
      <c r="P14" s="34"/>
      <c r="Q14" s="46"/>
      <c r="R14" s="217"/>
      <c r="S14" s="217"/>
    </row>
    <row r="15">
      <c r="A15" s="228" t="s">
        <v>325</v>
      </c>
      <c r="B15" s="228" t="s">
        <v>326</v>
      </c>
      <c r="C15" s="228" t="s">
        <v>327</v>
      </c>
      <c r="D15" s="228" t="s">
        <v>328</v>
      </c>
      <c r="E15" s="217"/>
      <c r="F15" s="217"/>
      <c r="G15" s="34"/>
      <c r="H15" s="211" t="s">
        <v>329</v>
      </c>
      <c r="I15" s="212">
        <v>557.0</v>
      </c>
      <c r="J15" s="220" t="s">
        <v>330</v>
      </c>
      <c r="K15" s="214" t="s">
        <v>331</v>
      </c>
      <c r="L15" s="215">
        <v>75.0</v>
      </c>
      <c r="M15" s="34"/>
      <c r="N15" s="34"/>
      <c r="O15" s="34"/>
      <c r="P15" s="34"/>
      <c r="Q15" s="34"/>
      <c r="R15" s="217"/>
      <c r="S15" s="217"/>
    </row>
    <row r="16">
      <c r="A16" s="228" t="s">
        <v>332</v>
      </c>
      <c r="B16" s="228" t="s">
        <v>333</v>
      </c>
      <c r="C16" s="228" t="s">
        <v>334</v>
      </c>
      <c r="D16" s="228" t="s">
        <v>270</v>
      </c>
      <c r="E16" s="217"/>
      <c r="F16" s="217"/>
      <c r="G16" s="34"/>
      <c r="H16" s="211" t="s">
        <v>335</v>
      </c>
      <c r="I16" s="212">
        <v>410.0</v>
      </c>
      <c r="J16" s="220" t="s">
        <v>336</v>
      </c>
      <c r="K16" s="214" t="s">
        <v>337</v>
      </c>
      <c r="L16" s="215">
        <v>76.0</v>
      </c>
      <c r="M16" s="34"/>
      <c r="N16" s="34"/>
      <c r="O16" s="34"/>
      <c r="P16" s="34"/>
      <c r="Q16" s="34"/>
      <c r="R16" s="217"/>
      <c r="S16" s="217"/>
    </row>
    <row r="17">
      <c r="A17" s="228" t="s">
        <v>338</v>
      </c>
      <c r="B17" s="228" t="s">
        <v>339</v>
      </c>
      <c r="C17" s="228" t="s">
        <v>340</v>
      </c>
      <c r="D17" s="228" t="s">
        <v>270</v>
      </c>
      <c r="E17" s="217"/>
      <c r="F17" s="217"/>
      <c r="G17" s="34"/>
      <c r="H17" s="211" t="s">
        <v>341</v>
      </c>
      <c r="I17" s="212">
        <v>558.0</v>
      </c>
      <c r="J17" s="220" t="s">
        <v>342</v>
      </c>
      <c r="K17" s="214" t="s">
        <v>343</v>
      </c>
      <c r="L17" s="215">
        <v>77.0</v>
      </c>
      <c r="M17" s="34"/>
      <c r="N17" s="34"/>
      <c r="O17" s="34"/>
      <c r="P17" s="34"/>
      <c r="Q17" s="34"/>
      <c r="R17" s="217"/>
      <c r="S17" s="217"/>
    </row>
    <row r="18">
      <c r="A18" s="228" t="s">
        <v>344</v>
      </c>
      <c r="B18" s="228" t="s">
        <v>345</v>
      </c>
      <c r="C18" s="228" t="s">
        <v>346</v>
      </c>
      <c r="D18" s="228" t="s">
        <v>270</v>
      </c>
      <c r="E18" s="217"/>
      <c r="F18" s="217"/>
      <c r="G18" s="34"/>
      <c r="H18" s="211" t="s">
        <v>276</v>
      </c>
      <c r="I18" s="212">
        <v>25.0</v>
      </c>
      <c r="J18" s="220" t="s">
        <v>347</v>
      </c>
      <c r="K18" s="214" t="s">
        <v>348</v>
      </c>
      <c r="L18" s="215">
        <v>78.0</v>
      </c>
      <c r="M18" s="34"/>
      <c r="N18" s="34"/>
      <c r="O18" s="34"/>
      <c r="P18" s="34"/>
      <c r="Q18" s="34"/>
      <c r="R18" s="217"/>
      <c r="S18" s="217"/>
    </row>
    <row r="19">
      <c r="A19" s="228" t="s">
        <v>349</v>
      </c>
      <c r="B19" s="228" t="s">
        <v>350</v>
      </c>
      <c r="C19" s="228" t="s">
        <v>351</v>
      </c>
      <c r="D19" s="228" t="s">
        <v>270</v>
      </c>
      <c r="E19" s="217"/>
      <c r="F19" s="217"/>
      <c r="G19" s="34"/>
      <c r="H19" s="211" t="s">
        <v>352</v>
      </c>
      <c r="I19" s="212">
        <v>216.0</v>
      </c>
      <c r="J19" s="220" t="s">
        <v>353</v>
      </c>
      <c r="K19" s="214" t="s">
        <v>354</v>
      </c>
      <c r="L19" s="215">
        <v>79.0</v>
      </c>
      <c r="M19" s="34"/>
      <c r="N19" s="34"/>
      <c r="O19" s="34"/>
      <c r="P19" s="34"/>
      <c r="Q19" s="34"/>
      <c r="R19" s="217"/>
      <c r="S19" s="217"/>
    </row>
    <row r="20">
      <c r="A20" s="228" t="s">
        <v>355</v>
      </c>
      <c r="B20" s="228" t="s">
        <v>356</v>
      </c>
      <c r="C20" s="228" t="s">
        <v>357</v>
      </c>
      <c r="D20" s="228" t="s">
        <v>270</v>
      </c>
      <c r="E20" s="217"/>
      <c r="F20" s="217"/>
      <c r="G20" s="34"/>
      <c r="H20" s="211" t="s">
        <v>358</v>
      </c>
      <c r="I20" s="212">
        <v>132.0</v>
      </c>
      <c r="J20" s="220" t="s">
        <v>359</v>
      </c>
      <c r="K20" s="214" t="s">
        <v>360</v>
      </c>
      <c r="L20" s="215">
        <v>80.0</v>
      </c>
      <c r="M20" s="34"/>
      <c r="N20" s="34"/>
      <c r="O20" s="34"/>
      <c r="P20" s="34"/>
      <c r="Q20" s="34"/>
      <c r="R20" s="217"/>
      <c r="S20" s="217"/>
    </row>
    <row r="21">
      <c r="A21" s="228" t="s">
        <v>361</v>
      </c>
      <c r="B21" s="228" t="s">
        <v>270</v>
      </c>
      <c r="C21" s="228" t="s">
        <v>362</v>
      </c>
      <c r="D21" s="228" t="s">
        <v>270</v>
      </c>
      <c r="E21" s="217"/>
      <c r="F21" s="217"/>
      <c r="G21" s="34"/>
      <c r="H21" s="211" t="s">
        <v>363</v>
      </c>
      <c r="I21" s="212">
        <v>275.0</v>
      </c>
      <c r="J21" s="220" t="s">
        <v>364</v>
      </c>
      <c r="K21" s="214" t="s">
        <v>365</v>
      </c>
      <c r="L21" s="215">
        <v>53.0</v>
      </c>
      <c r="M21" s="34"/>
      <c r="N21" s="34"/>
      <c r="O21" s="34"/>
      <c r="P21" s="34"/>
      <c r="Q21" s="34"/>
      <c r="R21" s="217"/>
      <c r="S21" s="217"/>
    </row>
    <row r="22">
      <c r="A22" s="228" t="s">
        <v>366</v>
      </c>
      <c r="B22" s="228" t="s">
        <v>270</v>
      </c>
      <c r="C22" s="228" t="s">
        <v>367</v>
      </c>
      <c r="D22" s="228" t="s">
        <v>270</v>
      </c>
      <c r="E22" s="217"/>
      <c r="F22" s="217"/>
      <c r="G22" s="34"/>
      <c r="H22" s="211" t="s">
        <v>368</v>
      </c>
      <c r="I22" s="212">
        <v>159.0</v>
      </c>
      <c r="J22" s="220" t="s">
        <v>106</v>
      </c>
      <c r="K22" s="214" t="s">
        <v>369</v>
      </c>
      <c r="L22" s="215">
        <v>195.0</v>
      </c>
      <c r="M22" s="34"/>
      <c r="N22" s="34"/>
      <c r="O22" s="34"/>
      <c r="P22" s="34"/>
      <c r="Q22" s="34"/>
      <c r="R22" s="217"/>
      <c r="S22" s="217"/>
    </row>
    <row r="23">
      <c r="A23" s="228" t="s">
        <v>370</v>
      </c>
      <c r="B23" s="228" t="s">
        <v>371</v>
      </c>
      <c r="C23" s="228" t="s">
        <v>372</v>
      </c>
      <c r="D23" s="228" t="s">
        <v>373</v>
      </c>
      <c r="E23" s="217"/>
      <c r="F23" s="217"/>
      <c r="G23" s="34"/>
      <c r="H23" s="211" t="s">
        <v>374</v>
      </c>
      <c r="I23" s="212">
        <v>551.0</v>
      </c>
      <c r="J23" s="220" t="s">
        <v>375</v>
      </c>
      <c r="K23" s="214" t="s">
        <v>369</v>
      </c>
      <c r="L23" s="215">
        <v>199.0</v>
      </c>
      <c r="M23" s="34"/>
      <c r="N23" s="34"/>
      <c r="O23" s="34"/>
      <c r="P23" s="34"/>
      <c r="Q23" s="34"/>
      <c r="R23" s="217"/>
      <c r="S23" s="217"/>
    </row>
    <row r="24">
      <c r="A24" s="228" t="s">
        <v>376</v>
      </c>
      <c r="B24" s="228" t="s">
        <v>377</v>
      </c>
      <c r="C24" s="228" t="s">
        <v>378</v>
      </c>
      <c r="D24" s="228" t="s">
        <v>379</v>
      </c>
      <c r="E24" s="217"/>
      <c r="F24" s="217"/>
      <c r="G24" s="34"/>
      <c r="H24" s="211" t="s">
        <v>380</v>
      </c>
      <c r="I24" s="212">
        <v>154.0</v>
      </c>
      <c r="J24" s="220" t="s">
        <v>381</v>
      </c>
      <c r="K24" s="214" t="s">
        <v>382</v>
      </c>
      <c r="L24" s="215">
        <v>81.0</v>
      </c>
      <c r="M24" s="34"/>
      <c r="N24" s="34"/>
      <c r="O24" s="34"/>
      <c r="P24" s="34"/>
      <c r="Q24" s="34"/>
      <c r="R24" s="217"/>
      <c r="S24" s="217"/>
    </row>
    <row r="25">
      <c r="A25" s="228" t="s">
        <v>383</v>
      </c>
      <c r="B25" s="228" t="s">
        <v>384</v>
      </c>
      <c r="C25" s="228" t="s">
        <v>385</v>
      </c>
      <c r="D25" s="228" t="s">
        <v>386</v>
      </c>
      <c r="E25" s="217"/>
      <c r="F25" s="217"/>
      <c r="G25" s="34"/>
      <c r="H25" s="211" t="s">
        <v>387</v>
      </c>
      <c r="I25" s="212">
        <v>256.0</v>
      </c>
      <c r="J25" s="220" t="s">
        <v>388</v>
      </c>
      <c r="K25" s="214" t="s">
        <v>389</v>
      </c>
      <c r="L25" s="215">
        <v>82.0</v>
      </c>
      <c r="M25" s="34"/>
      <c r="N25" s="34"/>
      <c r="O25" s="34"/>
      <c r="P25" s="34"/>
      <c r="Q25" s="34"/>
      <c r="R25" s="217"/>
      <c r="S25" s="217"/>
    </row>
    <row r="26">
      <c r="A26" s="228" t="s">
        <v>91</v>
      </c>
      <c r="B26" s="228" t="s">
        <v>390</v>
      </c>
      <c r="C26" s="228" t="s">
        <v>247</v>
      </c>
      <c r="D26" s="228" t="s">
        <v>391</v>
      </c>
      <c r="E26" s="217"/>
      <c r="F26" s="217"/>
      <c r="G26" s="34"/>
      <c r="H26" s="211" t="s">
        <v>392</v>
      </c>
      <c r="I26" s="212">
        <v>133.0</v>
      </c>
      <c r="J26" s="220" t="s">
        <v>393</v>
      </c>
      <c r="K26" s="214" t="s">
        <v>394</v>
      </c>
      <c r="L26" s="215">
        <v>83.0</v>
      </c>
      <c r="M26" s="34"/>
      <c r="N26" s="34"/>
      <c r="O26" s="34"/>
      <c r="P26" s="34"/>
      <c r="Q26" s="34"/>
      <c r="R26" s="217"/>
      <c r="S26" s="217"/>
    </row>
    <row r="27">
      <c r="A27" s="228" t="s">
        <v>395</v>
      </c>
      <c r="B27" s="228" t="s">
        <v>396</v>
      </c>
      <c r="C27" s="228" t="s">
        <v>387</v>
      </c>
      <c r="D27" s="228" t="s">
        <v>397</v>
      </c>
      <c r="E27" s="217"/>
      <c r="F27" s="217"/>
      <c r="G27" s="34"/>
      <c r="H27" s="211" t="s">
        <v>284</v>
      </c>
      <c r="I27" s="212">
        <v>26.0</v>
      </c>
      <c r="J27" s="220" t="s">
        <v>398</v>
      </c>
      <c r="K27" s="214" t="s">
        <v>399</v>
      </c>
      <c r="L27" s="215">
        <v>84.0</v>
      </c>
      <c r="M27" s="34"/>
      <c r="N27" s="34"/>
      <c r="O27" s="34"/>
      <c r="P27" s="34"/>
      <c r="Q27" s="34"/>
      <c r="R27" s="217"/>
      <c r="S27" s="217"/>
    </row>
    <row r="28">
      <c r="A28" s="228" t="s">
        <v>400</v>
      </c>
      <c r="B28" s="228" t="s">
        <v>401</v>
      </c>
      <c r="C28" s="228" t="s">
        <v>402</v>
      </c>
      <c r="D28" s="228" t="s">
        <v>403</v>
      </c>
      <c r="E28" s="217"/>
      <c r="F28" s="217"/>
      <c r="G28" s="34"/>
      <c r="H28" s="211" t="s">
        <v>404</v>
      </c>
      <c r="I28" s="212">
        <v>296.0</v>
      </c>
      <c r="J28" s="220" t="s">
        <v>405</v>
      </c>
      <c r="K28" s="214" t="s">
        <v>406</v>
      </c>
      <c r="L28" s="215">
        <v>6.0</v>
      </c>
      <c r="M28" s="34"/>
      <c r="N28" s="34"/>
      <c r="O28" s="34"/>
      <c r="P28" s="34"/>
      <c r="Q28" s="34"/>
      <c r="R28" s="217"/>
      <c r="S28" s="217"/>
    </row>
    <row r="29">
      <c r="A29" s="228" t="s">
        <v>407</v>
      </c>
      <c r="B29" s="228" t="s">
        <v>270</v>
      </c>
      <c r="C29" s="228" t="s">
        <v>408</v>
      </c>
      <c r="D29" s="228" t="s">
        <v>409</v>
      </c>
      <c r="E29" s="217"/>
      <c r="F29" s="217"/>
      <c r="G29" s="34"/>
      <c r="H29" s="211" t="s">
        <v>289</v>
      </c>
      <c r="I29" s="212">
        <v>21.0</v>
      </c>
      <c r="J29" s="220" t="s">
        <v>410</v>
      </c>
      <c r="K29" s="214" t="s">
        <v>411</v>
      </c>
      <c r="L29" s="215">
        <v>85.0</v>
      </c>
      <c r="M29" s="34"/>
      <c r="N29" s="34"/>
      <c r="O29" s="34"/>
      <c r="P29" s="34"/>
      <c r="Q29" s="34"/>
      <c r="R29" s="217"/>
      <c r="S29" s="217"/>
    </row>
    <row r="30">
      <c r="A30" s="228" t="s">
        <v>412</v>
      </c>
      <c r="B30" s="228" t="s">
        <v>270</v>
      </c>
      <c r="C30" s="228" t="s">
        <v>413</v>
      </c>
      <c r="D30" s="228" t="s">
        <v>270</v>
      </c>
      <c r="E30" s="217"/>
      <c r="F30" s="217"/>
      <c r="G30" s="34"/>
      <c r="H30" s="211" t="s">
        <v>414</v>
      </c>
      <c r="I30" s="212">
        <v>66.0</v>
      </c>
      <c r="J30" s="220" t="s">
        <v>415</v>
      </c>
      <c r="K30" s="214" t="s">
        <v>416</v>
      </c>
      <c r="L30" s="215">
        <v>52.0</v>
      </c>
      <c r="M30" s="34"/>
      <c r="N30" s="34"/>
      <c r="O30" s="34"/>
      <c r="P30" s="34"/>
      <c r="Q30" s="34"/>
      <c r="R30" s="217"/>
      <c r="S30" s="217"/>
    </row>
    <row r="31">
      <c r="A31" s="228" t="s">
        <v>213</v>
      </c>
      <c r="B31" s="228" t="s">
        <v>270</v>
      </c>
      <c r="C31" s="228" t="s">
        <v>417</v>
      </c>
      <c r="D31" s="228" t="s">
        <v>418</v>
      </c>
      <c r="E31" s="217"/>
      <c r="F31" s="217"/>
      <c r="G31" s="34"/>
      <c r="H31" s="211" t="s">
        <v>402</v>
      </c>
      <c r="I31" s="212">
        <v>257.0</v>
      </c>
      <c r="J31" s="220" t="s">
        <v>419</v>
      </c>
      <c r="K31" s="214" t="s">
        <v>420</v>
      </c>
      <c r="L31" s="215">
        <v>8.0</v>
      </c>
      <c r="M31" s="34"/>
      <c r="N31" s="34"/>
      <c r="O31" s="34"/>
      <c r="P31" s="34"/>
      <c r="Q31" s="34"/>
      <c r="R31" s="217"/>
      <c r="S31" s="217"/>
    </row>
    <row r="32">
      <c r="A32" s="228" t="s">
        <v>421</v>
      </c>
      <c r="B32" s="228" t="s">
        <v>422</v>
      </c>
      <c r="C32" s="228" t="s">
        <v>423</v>
      </c>
      <c r="D32" s="228" t="s">
        <v>424</v>
      </c>
      <c r="E32" s="217"/>
      <c r="F32" s="217"/>
      <c r="G32" s="34"/>
      <c r="H32" s="211" t="s">
        <v>425</v>
      </c>
      <c r="I32" s="212">
        <v>429.0</v>
      </c>
      <c r="J32" s="220" t="s">
        <v>426</v>
      </c>
      <c r="K32" s="214" t="s">
        <v>427</v>
      </c>
      <c r="L32" s="215">
        <v>118.0</v>
      </c>
      <c r="M32" s="34"/>
      <c r="N32" s="34"/>
      <c r="O32" s="34"/>
      <c r="P32" s="34"/>
      <c r="Q32" s="34"/>
      <c r="R32" s="217"/>
      <c r="S32" s="217"/>
    </row>
    <row r="33">
      <c r="A33" s="228" t="s">
        <v>428</v>
      </c>
      <c r="B33" s="228" t="s">
        <v>270</v>
      </c>
      <c r="C33" s="228" t="s">
        <v>429</v>
      </c>
      <c r="D33" s="228" t="s">
        <v>430</v>
      </c>
      <c r="E33" s="217"/>
      <c r="F33" s="217"/>
      <c r="G33" s="34"/>
      <c r="H33" s="211" t="s">
        <v>431</v>
      </c>
      <c r="I33" s="212">
        <v>297.0</v>
      </c>
      <c r="J33" s="220" t="s">
        <v>432</v>
      </c>
      <c r="K33" s="214" t="s">
        <v>433</v>
      </c>
      <c r="L33" s="215">
        <v>86.0</v>
      </c>
      <c r="M33" s="34"/>
      <c r="N33" s="34"/>
      <c r="O33" s="34"/>
      <c r="P33" s="34"/>
      <c r="Q33" s="34"/>
      <c r="R33" s="217"/>
      <c r="S33" s="217"/>
    </row>
    <row r="34">
      <c r="A34" s="228" t="s">
        <v>434</v>
      </c>
      <c r="B34" s="228" t="s">
        <v>435</v>
      </c>
      <c r="C34" s="228" t="s">
        <v>436</v>
      </c>
      <c r="D34" s="228" t="s">
        <v>270</v>
      </c>
      <c r="E34" s="217"/>
      <c r="F34" s="217"/>
      <c r="G34" s="34"/>
      <c r="H34" s="211" t="s">
        <v>311</v>
      </c>
      <c r="I34" s="212">
        <v>336.0</v>
      </c>
      <c r="J34" s="220" t="s">
        <v>437</v>
      </c>
      <c r="K34" s="214" t="s">
        <v>438</v>
      </c>
      <c r="L34" s="215">
        <v>87.0</v>
      </c>
      <c r="M34" s="34"/>
      <c r="N34" s="34"/>
      <c r="O34" s="34"/>
      <c r="P34" s="34"/>
      <c r="Q34" s="34"/>
      <c r="R34" s="217"/>
      <c r="S34" s="217"/>
    </row>
    <row r="35">
      <c r="A35" s="228" t="s">
        <v>439</v>
      </c>
      <c r="B35" s="228" t="s">
        <v>440</v>
      </c>
      <c r="C35" s="228" t="s">
        <v>441</v>
      </c>
      <c r="D35" s="228" t="s">
        <v>442</v>
      </c>
      <c r="E35" s="217"/>
      <c r="F35" s="217"/>
      <c r="G35" s="34"/>
      <c r="H35" s="211" t="s">
        <v>443</v>
      </c>
      <c r="I35" s="212">
        <v>298.0</v>
      </c>
      <c r="J35" s="220" t="s">
        <v>444</v>
      </c>
      <c r="K35" s="214" t="s">
        <v>445</v>
      </c>
      <c r="L35" s="215">
        <v>88.0</v>
      </c>
      <c r="M35" s="34"/>
      <c r="N35" s="34"/>
      <c r="O35" s="34"/>
      <c r="P35" s="34"/>
      <c r="Q35" s="34"/>
      <c r="R35" s="217"/>
      <c r="S35" s="217"/>
    </row>
    <row r="36">
      <c r="A36" s="228" t="s">
        <v>446</v>
      </c>
      <c r="B36" s="228" t="s">
        <v>270</v>
      </c>
      <c r="C36" s="228" t="s">
        <v>447</v>
      </c>
      <c r="D36" s="228" t="s">
        <v>448</v>
      </c>
      <c r="E36" s="217"/>
      <c r="F36" s="217"/>
      <c r="G36" s="34"/>
      <c r="H36" s="211" t="s">
        <v>449</v>
      </c>
      <c r="I36" s="212">
        <v>114.0</v>
      </c>
      <c r="J36" s="34" t="s">
        <v>450</v>
      </c>
      <c r="K36" s="214" t="s">
        <v>451</v>
      </c>
      <c r="L36" s="215">
        <v>49.0</v>
      </c>
      <c r="M36" s="34"/>
      <c r="N36" s="34"/>
      <c r="O36" s="34"/>
      <c r="P36" s="34"/>
      <c r="Q36" s="34"/>
      <c r="R36" s="217"/>
      <c r="S36" s="217"/>
    </row>
    <row r="37">
      <c r="A37" s="228" t="s">
        <v>452</v>
      </c>
      <c r="B37" s="228" t="s">
        <v>453</v>
      </c>
      <c r="C37" s="228" t="s">
        <v>454</v>
      </c>
      <c r="D37" s="228" t="s">
        <v>455</v>
      </c>
      <c r="E37" s="217"/>
      <c r="F37" s="217"/>
      <c r="G37" s="34"/>
      <c r="H37" s="211" t="s">
        <v>456</v>
      </c>
      <c r="I37" s="212">
        <v>194.0</v>
      </c>
      <c r="J37" s="230" t="s">
        <v>457</v>
      </c>
      <c r="K37" s="214" t="s">
        <v>458</v>
      </c>
      <c r="L37" s="215">
        <v>50.0</v>
      </c>
      <c r="M37" s="34"/>
      <c r="N37" s="34"/>
      <c r="O37" s="34"/>
      <c r="P37" s="34"/>
      <c r="Q37" s="34"/>
      <c r="R37" s="217"/>
      <c r="S37" s="217"/>
    </row>
    <row r="38">
      <c r="A38" s="228" t="s">
        <v>459</v>
      </c>
      <c r="B38" s="228" t="s">
        <v>270</v>
      </c>
      <c r="C38" s="228" t="s">
        <v>460</v>
      </c>
      <c r="D38" s="228" t="s">
        <v>461</v>
      </c>
      <c r="E38" s="217"/>
      <c r="F38" s="217"/>
      <c r="G38" s="34"/>
      <c r="H38" s="211" t="s">
        <v>462</v>
      </c>
      <c r="I38" s="212">
        <v>77.0</v>
      </c>
      <c r="J38" s="220" t="s">
        <v>463</v>
      </c>
      <c r="K38" s="214" t="s">
        <v>464</v>
      </c>
      <c r="L38" s="215">
        <v>151.0</v>
      </c>
      <c r="M38" s="34"/>
      <c r="N38" s="34"/>
      <c r="O38" s="34"/>
      <c r="P38" s="34"/>
      <c r="Q38" s="34"/>
      <c r="R38" s="217"/>
      <c r="S38" s="217"/>
    </row>
    <row r="39">
      <c r="A39" s="228" t="s">
        <v>465</v>
      </c>
      <c r="B39" s="228" t="s">
        <v>270</v>
      </c>
      <c r="C39" s="228" t="s">
        <v>466</v>
      </c>
      <c r="D39" s="228" t="s">
        <v>467</v>
      </c>
      <c r="E39" s="217"/>
      <c r="F39" s="217"/>
      <c r="G39" s="34"/>
      <c r="H39" s="211" t="s">
        <v>468</v>
      </c>
      <c r="I39" s="212">
        <v>593.0</v>
      </c>
      <c r="J39" s="220" t="s">
        <v>469</v>
      </c>
      <c r="K39" s="214" t="s">
        <v>470</v>
      </c>
      <c r="L39" s="215">
        <v>89.0</v>
      </c>
      <c r="M39" s="34"/>
      <c r="N39" s="34"/>
      <c r="O39" s="34"/>
      <c r="P39" s="34"/>
      <c r="Q39" s="34"/>
      <c r="R39" s="217"/>
      <c r="S39" s="217"/>
    </row>
    <row r="40">
      <c r="A40" s="228" t="s">
        <v>471</v>
      </c>
      <c r="B40" s="228" t="s">
        <v>472</v>
      </c>
      <c r="C40" s="228" t="s">
        <v>473</v>
      </c>
      <c r="D40" s="228" t="s">
        <v>270</v>
      </c>
      <c r="E40" s="217"/>
      <c r="F40" s="217"/>
      <c r="G40" s="34"/>
      <c r="H40" s="211" t="s">
        <v>474</v>
      </c>
      <c r="I40" s="212">
        <v>78.0</v>
      </c>
      <c r="J40" s="220" t="s">
        <v>475</v>
      </c>
      <c r="K40" s="214" t="s">
        <v>476</v>
      </c>
      <c r="L40" s="215">
        <v>90.0</v>
      </c>
      <c r="M40" s="34"/>
      <c r="N40" s="34"/>
      <c r="O40" s="34"/>
      <c r="P40" s="34"/>
      <c r="Q40" s="34"/>
      <c r="R40" s="217"/>
      <c r="S40" s="217"/>
    </row>
    <row r="41">
      <c r="A41" s="228" t="s">
        <v>477</v>
      </c>
      <c r="B41" s="228" t="s">
        <v>478</v>
      </c>
      <c r="C41" s="228" t="s">
        <v>479</v>
      </c>
      <c r="D41" s="228" t="s">
        <v>270</v>
      </c>
      <c r="E41" s="217"/>
      <c r="F41" s="217"/>
      <c r="G41" s="34"/>
      <c r="H41" s="211" t="s">
        <v>480</v>
      </c>
      <c r="I41" s="212">
        <v>217.0</v>
      </c>
      <c r="J41" s="220" t="s">
        <v>481</v>
      </c>
      <c r="K41" s="214" t="s">
        <v>482</v>
      </c>
      <c r="L41" s="215">
        <v>91.0</v>
      </c>
      <c r="M41" s="34"/>
      <c r="N41" s="34"/>
      <c r="O41" s="34"/>
      <c r="P41" s="34"/>
      <c r="Q41" s="34"/>
      <c r="R41" s="217"/>
      <c r="S41" s="217"/>
    </row>
    <row r="42">
      <c r="A42" s="228" t="s">
        <v>483</v>
      </c>
      <c r="B42" s="228" t="s">
        <v>484</v>
      </c>
      <c r="C42" s="228" t="s">
        <v>485</v>
      </c>
      <c r="D42" s="228" t="s">
        <v>270</v>
      </c>
      <c r="E42" s="217"/>
      <c r="F42" s="217"/>
      <c r="G42" s="34"/>
      <c r="H42" s="211" t="s">
        <v>486</v>
      </c>
      <c r="I42" s="212">
        <v>115.0</v>
      </c>
      <c r="J42" s="220" t="s">
        <v>487</v>
      </c>
      <c r="K42" s="214" t="s">
        <v>488</v>
      </c>
      <c r="L42" s="215">
        <v>92.0</v>
      </c>
      <c r="M42" s="34"/>
      <c r="N42" s="34"/>
      <c r="O42" s="34"/>
      <c r="P42" s="34"/>
      <c r="Q42" s="34"/>
      <c r="R42" s="217"/>
      <c r="S42" s="217"/>
    </row>
    <row r="43">
      <c r="A43" s="228" t="s">
        <v>489</v>
      </c>
      <c r="B43" s="228" t="s">
        <v>490</v>
      </c>
      <c r="C43" s="228" t="s">
        <v>491</v>
      </c>
      <c r="D43" s="228" t="s">
        <v>270</v>
      </c>
      <c r="E43" s="217"/>
      <c r="F43" s="217"/>
      <c r="G43" s="34"/>
      <c r="H43" s="211" t="s">
        <v>492</v>
      </c>
      <c r="I43" s="212">
        <v>533.0</v>
      </c>
      <c r="J43" s="220" t="s">
        <v>493</v>
      </c>
      <c r="K43" s="214" t="s">
        <v>494</v>
      </c>
      <c r="L43" s="215">
        <v>9.0</v>
      </c>
      <c r="M43" s="34"/>
      <c r="N43" s="34"/>
      <c r="O43" s="34"/>
      <c r="P43" s="34"/>
      <c r="Q43" s="34"/>
      <c r="R43" s="217"/>
      <c r="S43" s="217"/>
    </row>
    <row r="44">
      <c r="A44" s="228" t="s">
        <v>495</v>
      </c>
      <c r="B44" s="228" t="s">
        <v>496</v>
      </c>
      <c r="C44" s="228" t="s">
        <v>497</v>
      </c>
      <c r="D44" s="228" t="s">
        <v>270</v>
      </c>
      <c r="E44" s="217"/>
      <c r="F44" s="217"/>
      <c r="G44" s="34"/>
      <c r="H44" s="211" t="s">
        <v>498</v>
      </c>
      <c r="I44" s="212">
        <v>195.0</v>
      </c>
      <c r="J44" s="220" t="s">
        <v>499</v>
      </c>
      <c r="K44" s="214" t="s">
        <v>500</v>
      </c>
      <c r="L44" s="215">
        <v>10.0</v>
      </c>
      <c r="M44" s="34"/>
      <c r="N44" s="34"/>
      <c r="O44" s="34"/>
      <c r="P44" s="34"/>
      <c r="Q44" s="34"/>
      <c r="R44" s="217"/>
      <c r="S44" s="217"/>
    </row>
    <row r="45">
      <c r="A45" s="228" t="s">
        <v>485</v>
      </c>
      <c r="B45" s="228" t="s">
        <v>501</v>
      </c>
      <c r="C45" s="228" t="s">
        <v>502</v>
      </c>
      <c r="D45" s="228" t="s">
        <v>270</v>
      </c>
      <c r="E45" s="217"/>
      <c r="F45" s="217"/>
      <c r="G45" s="34"/>
      <c r="H45" s="211" t="s">
        <v>503</v>
      </c>
      <c r="I45" s="212">
        <v>411.0</v>
      </c>
      <c r="J45" s="220" t="s">
        <v>504</v>
      </c>
      <c r="K45" s="214" t="s">
        <v>505</v>
      </c>
      <c r="L45" s="215">
        <v>11.0</v>
      </c>
      <c r="M45" s="34"/>
      <c r="N45" s="34"/>
      <c r="O45" s="34"/>
      <c r="P45" s="34"/>
      <c r="Q45" s="34"/>
      <c r="R45" s="217"/>
      <c r="S45" s="217"/>
    </row>
    <row r="46">
      <c r="A46" s="228" t="s">
        <v>506</v>
      </c>
      <c r="B46" s="228" t="s">
        <v>507</v>
      </c>
      <c r="C46" s="228" t="s">
        <v>380</v>
      </c>
      <c r="D46" s="228" t="s">
        <v>508</v>
      </c>
      <c r="E46" s="217"/>
      <c r="F46" s="217"/>
      <c r="G46" s="34"/>
      <c r="H46" s="211" t="s">
        <v>365</v>
      </c>
      <c r="I46" s="212">
        <v>337.0</v>
      </c>
      <c r="J46" s="220" t="s">
        <v>509</v>
      </c>
      <c r="K46" s="214" t="s">
        <v>510</v>
      </c>
      <c r="L46" s="215">
        <v>93.0</v>
      </c>
      <c r="M46" s="34"/>
      <c r="N46" s="34"/>
      <c r="O46" s="34"/>
      <c r="P46" s="34"/>
      <c r="Q46" s="34"/>
      <c r="R46" s="217"/>
      <c r="S46" s="217"/>
    </row>
    <row r="47">
      <c r="A47" s="228" t="s">
        <v>511</v>
      </c>
      <c r="B47" s="228" t="s">
        <v>512</v>
      </c>
      <c r="C47" s="228" t="s">
        <v>492</v>
      </c>
      <c r="D47" s="228" t="s">
        <v>270</v>
      </c>
      <c r="E47" s="217"/>
      <c r="F47" s="217"/>
      <c r="G47" s="34"/>
      <c r="H47" s="211" t="s">
        <v>369</v>
      </c>
      <c r="I47" s="212">
        <v>339.0</v>
      </c>
      <c r="J47" s="220" t="s">
        <v>513</v>
      </c>
      <c r="K47" s="214" t="s">
        <v>514</v>
      </c>
      <c r="L47" s="215">
        <v>12.0</v>
      </c>
      <c r="M47" s="34"/>
      <c r="N47" s="34"/>
      <c r="O47" s="34"/>
      <c r="P47" s="34"/>
      <c r="Q47" s="34"/>
      <c r="R47" s="217"/>
      <c r="S47" s="217"/>
    </row>
    <row r="48">
      <c r="A48" s="228" t="s">
        <v>515</v>
      </c>
      <c r="B48" s="228" t="s">
        <v>516</v>
      </c>
      <c r="C48" s="228" t="s">
        <v>517</v>
      </c>
      <c r="D48" s="228" t="s">
        <v>518</v>
      </c>
      <c r="E48" s="217"/>
      <c r="F48" s="217"/>
      <c r="G48" s="34"/>
      <c r="H48" s="211" t="s">
        <v>519</v>
      </c>
      <c r="I48" s="212">
        <v>196.0</v>
      </c>
      <c r="J48" s="220" t="s">
        <v>520</v>
      </c>
      <c r="K48" s="214" t="s">
        <v>521</v>
      </c>
      <c r="L48" s="215">
        <v>94.0</v>
      </c>
      <c r="M48" s="34"/>
      <c r="N48" s="34"/>
      <c r="O48" s="34"/>
      <c r="P48" s="34"/>
      <c r="Q48" s="34"/>
      <c r="R48" s="217"/>
      <c r="S48" s="217"/>
    </row>
    <row r="49">
      <c r="A49" s="228" t="s">
        <v>522</v>
      </c>
      <c r="B49" s="228" t="s">
        <v>523</v>
      </c>
      <c r="C49" s="228" t="s">
        <v>524</v>
      </c>
      <c r="D49" s="228" t="s">
        <v>270</v>
      </c>
      <c r="E49" s="217"/>
      <c r="F49" s="217"/>
      <c r="G49" s="34"/>
      <c r="H49" s="211" t="s">
        <v>525</v>
      </c>
      <c r="I49" s="212">
        <v>134.0</v>
      </c>
      <c r="J49" s="220" t="s">
        <v>526</v>
      </c>
      <c r="K49" s="214" t="s">
        <v>195</v>
      </c>
      <c r="L49" s="215">
        <v>1.0</v>
      </c>
      <c r="M49" s="34"/>
      <c r="N49" s="34"/>
      <c r="O49" s="34"/>
      <c r="P49" s="34"/>
      <c r="Q49" s="34"/>
      <c r="R49" s="217"/>
      <c r="S49" s="217"/>
    </row>
    <row r="50">
      <c r="A50" s="228" t="s">
        <v>527</v>
      </c>
      <c r="B50" s="228" t="s">
        <v>528</v>
      </c>
      <c r="C50" s="228" t="s">
        <v>529</v>
      </c>
      <c r="D50" s="228" t="s">
        <v>270</v>
      </c>
      <c r="E50" s="217"/>
      <c r="F50" s="217"/>
      <c r="G50" s="34"/>
      <c r="H50" s="211" t="s">
        <v>298</v>
      </c>
      <c r="I50" s="212">
        <v>28.0</v>
      </c>
      <c r="J50" s="220" t="s">
        <v>530</v>
      </c>
      <c r="K50" s="214" t="s">
        <v>531</v>
      </c>
      <c r="L50" s="215">
        <v>95.0</v>
      </c>
      <c r="M50" s="34"/>
      <c r="N50" s="34"/>
      <c r="O50" s="34"/>
      <c r="P50" s="34"/>
      <c r="Q50" s="34"/>
      <c r="R50" s="217"/>
      <c r="S50" s="217"/>
    </row>
    <row r="51">
      <c r="A51" s="217"/>
      <c r="B51" s="217"/>
      <c r="C51" s="228" t="s">
        <v>532</v>
      </c>
      <c r="D51" s="228" t="s">
        <v>533</v>
      </c>
      <c r="E51" s="217"/>
      <c r="F51" s="217"/>
      <c r="G51" s="34"/>
      <c r="H51" s="211" t="s">
        <v>408</v>
      </c>
      <c r="I51" s="212">
        <v>258.0</v>
      </c>
      <c r="J51" s="220" t="s">
        <v>534</v>
      </c>
      <c r="K51" s="214" t="s">
        <v>535</v>
      </c>
      <c r="L51" s="215">
        <v>13.0</v>
      </c>
      <c r="M51" s="34"/>
      <c r="N51" s="34"/>
      <c r="O51" s="34"/>
      <c r="P51" s="34"/>
      <c r="Q51" s="34"/>
      <c r="R51" s="217"/>
      <c r="S51" s="217"/>
    </row>
    <row r="52">
      <c r="A52" s="217"/>
      <c r="B52" s="217"/>
      <c r="C52" s="228" t="s">
        <v>536</v>
      </c>
      <c r="D52" s="228" t="s">
        <v>270</v>
      </c>
      <c r="E52" s="217"/>
      <c r="F52" s="217"/>
      <c r="G52" s="34"/>
      <c r="H52" s="211" t="s">
        <v>537</v>
      </c>
      <c r="I52" s="212">
        <v>443.0</v>
      </c>
      <c r="J52" s="34" t="s">
        <v>538</v>
      </c>
      <c r="K52" s="214" t="s">
        <v>539</v>
      </c>
      <c r="L52" s="215">
        <v>96.0</v>
      </c>
      <c r="M52" s="34"/>
      <c r="N52" s="34"/>
      <c r="O52" s="34"/>
      <c r="P52" s="34"/>
      <c r="Q52" s="34"/>
      <c r="R52" s="217"/>
      <c r="S52" s="217"/>
    </row>
    <row r="53">
      <c r="A53" s="217"/>
      <c r="B53" s="217"/>
      <c r="C53" s="228" t="s">
        <v>540</v>
      </c>
      <c r="D53" s="228" t="s">
        <v>541</v>
      </c>
      <c r="E53" s="217"/>
      <c r="F53" s="217"/>
      <c r="G53" s="34"/>
      <c r="H53" s="211" t="s">
        <v>542</v>
      </c>
      <c r="I53" s="212">
        <v>184.0</v>
      </c>
      <c r="J53" s="220" t="s">
        <v>543</v>
      </c>
      <c r="K53" s="214" t="s">
        <v>544</v>
      </c>
      <c r="L53" s="215">
        <v>97.0</v>
      </c>
      <c r="M53" s="34"/>
      <c r="N53" s="34"/>
      <c r="O53" s="34"/>
      <c r="P53" s="34"/>
      <c r="Q53" s="34"/>
      <c r="R53" s="217"/>
      <c r="S53" s="217"/>
    </row>
    <row r="54">
      <c r="A54" s="217"/>
      <c r="B54" s="217"/>
      <c r="C54" s="228" t="s">
        <v>545</v>
      </c>
      <c r="D54" s="228" t="s">
        <v>270</v>
      </c>
      <c r="E54" s="217"/>
      <c r="F54" s="217"/>
      <c r="G54" s="34"/>
      <c r="H54" s="211" t="s">
        <v>546</v>
      </c>
      <c r="I54" s="212">
        <v>412.0</v>
      </c>
      <c r="J54" s="220" t="s">
        <v>547</v>
      </c>
      <c r="K54" s="214" t="s">
        <v>548</v>
      </c>
      <c r="L54" s="215">
        <v>98.0</v>
      </c>
      <c r="M54" s="34"/>
      <c r="N54" s="34"/>
      <c r="O54" s="34"/>
      <c r="P54" s="34"/>
      <c r="Q54" s="34"/>
      <c r="R54" s="217"/>
      <c r="S54" s="217"/>
    </row>
    <row r="55">
      <c r="A55" s="217"/>
      <c r="B55" s="217"/>
      <c r="C55" s="228" t="s">
        <v>549</v>
      </c>
      <c r="D55" s="228" t="s">
        <v>270</v>
      </c>
      <c r="E55" s="217"/>
      <c r="F55" s="217"/>
      <c r="G55" s="34"/>
      <c r="H55" s="211" t="s">
        <v>550</v>
      </c>
      <c r="I55" s="212">
        <v>79.0</v>
      </c>
      <c r="J55" s="220" t="s">
        <v>551</v>
      </c>
      <c r="K55" s="214" t="s">
        <v>552</v>
      </c>
      <c r="L55" s="215">
        <v>14.0</v>
      </c>
      <c r="M55" s="34"/>
      <c r="N55" s="34"/>
      <c r="O55" s="34"/>
      <c r="P55" s="34"/>
      <c r="Q55" s="34"/>
      <c r="R55" s="217"/>
      <c r="S55" s="217"/>
    </row>
    <row r="56">
      <c r="A56" s="217"/>
      <c r="B56" s="217"/>
      <c r="C56" s="228" t="s">
        <v>553</v>
      </c>
      <c r="D56" s="228" t="s">
        <v>270</v>
      </c>
      <c r="E56" s="217"/>
      <c r="F56" s="217"/>
      <c r="G56" s="34"/>
      <c r="H56" s="211" t="s">
        <v>554</v>
      </c>
      <c r="I56" s="212">
        <v>430.0</v>
      </c>
      <c r="J56" s="220" t="s">
        <v>555</v>
      </c>
      <c r="K56" s="214" t="s">
        <v>556</v>
      </c>
      <c r="L56" s="215">
        <v>3.0</v>
      </c>
      <c r="M56" s="34"/>
      <c r="N56" s="34"/>
      <c r="O56" s="34"/>
      <c r="P56" s="34"/>
      <c r="Q56" s="34"/>
      <c r="R56" s="217"/>
      <c r="S56" s="217"/>
    </row>
    <row r="57">
      <c r="A57" s="217"/>
      <c r="B57" s="217"/>
      <c r="C57" s="228" t="s">
        <v>557</v>
      </c>
      <c r="D57" s="228" t="s">
        <v>558</v>
      </c>
      <c r="E57" s="217"/>
      <c r="F57" s="217"/>
      <c r="G57" s="34"/>
      <c r="H57" s="211" t="s">
        <v>306</v>
      </c>
      <c r="I57" s="212">
        <v>29.0</v>
      </c>
      <c r="J57" s="220" t="s">
        <v>559</v>
      </c>
      <c r="K57" s="214" t="s">
        <v>560</v>
      </c>
      <c r="L57" s="215">
        <v>99.0</v>
      </c>
      <c r="M57" s="34"/>
      <c r="N57" s="34"/>
      <c r="O57" s="34"/>
      <c r="P57" s="34"/>
      <c r="Q57" s="34"/>
      <c r="R57" s="217"/>
      <c r="S57" s="217"/>
    </row>
    <row r="58">
      <c r="A58" s="217"/>
      <c r="B58" s="217"/>
      <c r="C58" s="228" t="s">
        <v>363</v>
      </c>
      <c r="D58" s="228" t="s">
        <v>270</v>
      </c>
      <c r="E58" s="217"/>
      <c r="F58" s="217"/>
      <c r="G58" s="34"/>
      <c r="H58" s="211" t="s">
        <v>561</v>
      </c>
      <c r="I58" s="212">
        <v>144.0</v>
      </c>
      <c r="J58" s="220" t="s">
        <v>562</v>
      </c>
      <c r="K58" s="214" t="s">
        <v>563</v>
      </c>
      <c r="L58" s="215">
        <v>166.0</v>
      </c>
      <c r="M58" s="34"/>
      <c r="N58" s="34"/>
      <c r="O58" s="34"/>
      <c r="P58" s="34"/>
      <c r="Q58" s="34"/>
      <c r="R58" s="217"/>
      <c r="S58" s="217"/>
    </row>
    <row r="59">
      <c r="A59" s="217"/>
      <c r="B59" s="217"/>
      <c r="C59" s="228" t="s">
        <v>564</v>
      </c>
      <c r="D59" s="228" t="s">
        <v>565</v>
      </c>
      <c r="E59" s="217"/>
      <c r="F59" s="217"/>
      <c r="G59" s="34"/>
      <c r="H59" s="211" t="s">
        <v>413</v>
      </c>
      <c r="I59" s="212">
        <v>259.0</v>
      </c>
      <c r="J59" s="220" t="s">
        <v>566</v>
      </c>
      <c r="K59" s="214" t="s">
        <v>567</v>
      </c>
      <c r="L59" s="215">
        <v>100.0</v>
      </c>
      <c r="M59" s="34"/>
      <c r="N59" s="34"/>
      <c r="O59" s="34"/>
      <c r="P59" s="34"/>
      <c r="Q59" s="34"/>
      <c r="R59" s="217"/>
      <c r="S59" s="217"/>
    </row>
    <row r="60">
      <c r="A60" s="217"/>
      <c r="B60" s="217"/>
      <c r="C60" s="228" t="s">
        <v>568</v>
      </c>
      <c r="D60" s="228" t="s">
        <v>569</v>
      </c>
      <c r="E60" s="217"/>
      <c r="F60" s="217"/>
      <c r="G60" s="34"/>
      <c r="H60" s="211" t="s">
        <v>278</v>
      </c>
      <c r="I60" s="212">
        <v>230.0</v>
      </c>
      <c r="J60" s="220" t="s">
        <v>570</v>
      </c>
      <c r="K60" s="46" t="s">
        <v>571</v>
      </c>
      <c r="L60" s="89">
        <v>127.0</v>
      </c>
      <c r="M60" s="34"/>
      <c r="N60" s="34"/>
      <c r="O60" s="34"/>
      <c r="P60" s="34"/>
      <c r="Q60" s="34"/>
      <c r="R60" s="217"/>
      <c r="S60" s="217"/>
    </row>
    <row r="61">
      <c r="A61" s="217"/>
      <c r="B61" s="217"/>
      <c r="C61" s="228" t="s">
        <v>572</v>
      </c>
      <c r="D61" s="228" t="s">
        <v>573</v>
      </c>
      <c r="E61" s="217"/>
      <c r="F61" s="217"/>
      <c r="G61" s="34"/>
      <c r="H61" s="211" t="s">
        <v>574</v>
      </c>
      <c r="I61" s="212">
        <v>103.0</v>
      </c>
      <c r="J61" s="220" t="s">
        <v>575</v>
      </c>
      <c r="K61" s="214" t="s">
        <v>576</v>
      </c>
      <c r="L61" s="89">
        <v>101.0</v>
      </c>
      <c r="M61" s="34"/>
      <c r="N61" s="34"/>
      <c r="O61" s="34"/>
      <c r="P61" s="34"/>
      <c r="Q61" s="34"/>
      <c r="R61" s="217"/>
      <c r="S61" s="217"/>
    </row>
    <row r="62">
      <c r="A62" s="217"/>
      <c r="B62" s="217"/>
      <c r="C62" s="228" t="s">
        <v>577</v>
      </c>
      <c r="D62" s="228" t="s">
        <v>270</v>
      </c>
      <c r="E62" s="217"/>
      <c r="F62" s="217"/>
      <c r="G62" s="34"/>
      <c r="H62" s="211" t="s">
        <v>578</v>
      </c>
      <c r="I62" s="212">
        <v>299.0</v>
      </c>
      <c r="J62" s="220" t="s">
        <v>579</v>
      </c>
      <c r="K62" s="214" t="s">
        <v>580</v>
      </c>
      <c r="L62" s="89">
        <v>15.0</v>
      </c>
      <c r="M62" s="34"/>
      <c r="N62" s="34"/>
      <c r="O62" s="34"/>
      <c r="P62" s="34"/>
      <c r="Q62" s="34"/>
      <c r="R62" s="217"/>
      <c r="S62" s="217"/>
    </row>
    <row r="63">
      <c r="A63" s="217"/>
      <c r="B63" s="217"/>
      <c r="C63" s="228" t="s">
        <v>581</v>
      </c>
      <c r="D63" s="228" t="s">
        <v>582</v>
      </c>
      <c r="E63" s="217"/>
      <c r="F63" s="217"/>
      <c r="G63" s="34"/>
      <c r="H63" s="211" t="s">
        <v>583</v>
      </c>
      <c r="I63" s="212">
        <v>300.0</v>
      </c>
      <c r="J63" s="220" t="s">
        <v>584</v>
      </c>
      <c r="K63" s="214" t="s">
        <v>585</v>
      </c>
      <c r="L63" s="89">
        <v>16.0</v>
      </c>
      <c r="M63" s="34"/>
      <c r="N63" s="34"/>
      <c r="O63" s="34"/>
      <c r="P63" s="34"/>
      <c r="Q63" s="34"/>
      <c r="R63" s="217"/>
      <c r="S63" s="217"/>
    </row>
    <row r="64">
      <c r="A64" s="217"/>
      <c r="B64" s="217"/>
      <c r="C64" s="228" t="s">
        <v>256</v>
      </c>
      <c r="D64" s="228" t="s">
        <v>270</v>
      </c>
      <c r="E64" s="217"/>
      <c r="F64" s="217"/>
      <c r="G64" s="34"/>
      <c r="H64" s="211" t="s">
        <v>586</v>
      </c>
      <c r="I64" s="212">
        <v>431.0</v>
      </c>
      <c r="J64" s="220" t="s">
        <v>587</v>
      </c>
      <c r="K64" s="214" t="s">
        <v>588</v>
      </c>
      <c r="L64" s="89">
        <v>102.0</v>
      </c>
      <c r="M64" s="34"/>
      <c r="N64" s="34"/>
      <c r="O64" s="34"/>
      <c r="P64" s="34"/>
      <c r="Q64" s="34"/>
      <c r="R64" s="217"/>
      <c r="S64" s="217"/>
    </row>
    <row r="65">
      <c r="A65" s="217"/>
      <c r="B65" s="217"/>
      <c r="C65" s="228" t="s">
        <v>309</v>
      </c>
      <c r="D65" s="228" t="s">
        <v>589</v>
      </c>
      <c r="E65" s="217"/>
      <c r="F65" s="217"/>
      <c r="G65" s="34"/>
      <c r="H65" s="211" t="s">
        <v>590</v>
      </c>
      <c r="I65" s="212">
        <v>91.0</v>
      </c>
      <c r="J65" s="220" t="s">
        <v>591</v>
      </c>
      <c r="K65" s="214" t="s">
        <v>592</v>
      </c>
      <c r="L65" s="89">
        <v>103.0</v>
      </c>
      <c r="M65" s="34"/>
      <c r="N65" s="34"/>
      <c r="O65" s="34"/>
      <c r="P65" s="34"/>
      <c r="Q65" s="34"/>
      <c r="R65" s="217"/>
      <c r="S65" s="217"/>
    </row>
    <row r="66">
      <c r="A66" s="217"/>
      <c r="B66" s="217"/>
      <c r="C66" s="228" t="s">
        <v>316</v>
      </c>
      <c r="D66" s="228" t="s">
        <v>593</v>
      </c>
      <c r="E66" s="217"/>
      <c r="F66" s="217"/>
      <c r="G66" s="34"/>
      <c r="H66" s="211" t="s">
        <v>594</v>
      </c>
      <c r="I66" s="212">
        <v>301.0</v>
      </c>
      <c r="J66" s="220" t="s">
        <v>595</v>
      </c>
      <c r="K66" s="214" t="s">
        <v>596</v>
      </c>
      <c r="L66" s="89">
        <v>54.0</v>
      </c>
      <c r="M66" s="34"/>
      <c r="N66" s="34"/>
      <c r="O66" s="34"/>
      <c r="P66" s="34"/>
      <c r="Q66" s="34"/>
      <c r="R66" s="217"/>
      <c r="S66" s="217"/>
    </row>
    <row r="67">
      <c r="A67" s="217"/>
      <c r="B67" s="217"/>
      <c r="C67" s="228" t="s">
        <v>404</v>
      </c>
      <c r="D67" s="228" t="s">
        <v>270</v>
      </c>
      <c r="E67" s="217"/>
      <c r="F67" s="217"/>
      <c r="G67" s="34"/>
      <c r="H67" s="211" t="s">
        <v>597</v>
      </c>
      <c r="I67" s="212">
        <v>334.0</v>
      </c>
      <c r="J67" s="220" t="s">
        <v>598</v>
      </c>
      <c r="K67" s="214" t="s">
        <v>599</v>
      </c>
      <c r="L67" s="89">
        <v>196.0</v>
      </c>
      <c r="M67" s="34"/>
      <c r="N67" s="34"/>
      <c r="O67" s="34"/>
      <c r="P67" s="34"/>
      <c r="Q67" s="34"/>
      <c r="R67" s="217"/>
      <c r="S67" s="217"/>
    </row>
    <row r="68">
      <c r="A68" s="217"/>
      <c r="B68" s="217"/>
      <c r="C68" s="228" t="s">
        <v>431</v>
      </c>
      <c r="D68" s="228" t="s">
        <v>600</v>
      </c>
      <c r="E68" s="217"/>
      <c r="F68" s="217"/>
      <c r="G68" s="34"/>
      <c r="H68" s="211" t="s">
        <v>601</v>
      </c>
      <c r="I68" s="212">
        <v>432.0</v>
      </c>
      <c r="J68" s="220" t="s">
        <v>602</v>
      </c>
      <c r="K68" s="214" t="s">
        <v>599</v>
      </c>
      <c r="L68" s="89">
        <v>200.0</v>
      </c>
      <c r="M68" s="34"/>
      <c r="N68" s="34"/>
      <c r="O68" s="34"/>
      <c r="P68" s="34"/>
      <c r="Q68" s="34"/>
      <c r="R68" s="217"/>
      <c r="S68" s="217"/>
    </row>
    <row r="69">
      <c r="A69" s="217"/>
      <c r="B69" s="217"/>
      <c r="C69" s="228" t="s">
        <v>443</v>
      </c>
      <c r="D69" s="228" t="s">
        <v>603</v>
      </c>
      <c r="E69" s="217"/>
      <c r="F69" s="217"/>
      <c r="G69" s="34"/>
      <c r="H69" s="211" t="s">
        <v>604</v>
      </c>
      <c r="I69" s="212">
        <v>302.0</v>
      </c>
      <c r="J69" s="220" t="s">
        <v>605</v>
      </c>
      <c r="K69" s="214" t="s">
        <v>606</v>
      </c>
      <c r="L69" s="89">
        <v>104.0</v>
      </c>
      <c r="M69" s="34"/>
      <c r="N69" s="34"/>
      <c r="O69" s="34"/>
      <c r="P69" s="34"/>
      <c r="Q69" s="34"/>
      <c r="R69" s="217"/>
      <c r="S69" s="217"/>
    </row>
    <row r="70">
      <c r="A70" s="217"/>
      <c r="B70" s="217"/>
      <c r="C70" s="228" t="s">
        <v>578</v>
      </c>
      <c r="D70" s="228" t="s">
        <v>270</v>
      </c>
      <c r="E70" s="217"/>
      <c r="F70" s="217"/>
      <c r="G70" s="34"/>
      <c r="H70" s="211" t="s">
        <v>607</v>
      </c>
      <c r="I70" s="212">
        <v>303.0</v>
      </c>
      <c r="J70" s="220" t="s">
        <v>608</v>
      </c>
      <c r="K70" s="214" t="s">
        <v>609</v>
      </c>
      <c r="L70" s="89">
        <v>2.0</v>
      </c>
      <c r="M70" s="34"/>
      <c r="N70" s="34"/>
      <c r="O70" s="34"/>
      <c r="P70" s="34"/>
      <c r="Q70" s="34"/>
      <c r="R70" s="217"/>
      <c r="S70" s="217"/>
    </row>
    <row r="71">
      <c r="A71" s="217"/>
      <c r="B71" s="217"/>
      <c r="C71" s="228" t="s">
        <v>583</v>
      </c>
      <c r="D71" s="228" t="s">
        <v>270</v>
      </c>
      <c r="E71" s="217"/>
      <c r="F71" s="217"/>
      <c r="G71" s="34"/>
      <c r="H71" s="211" t="s">
        <v>610</v>
      </c>
      <c r="I71" s="212">
        <v>444.0</v>
      </c>
      <c r="J71" s="220" t="s">
        <v>611</v>
      </c>
      <c r="K71" s="214" t="s">
        <v>612</v>
      </c>
      <c r="L71" s="89">
        <v>105.0</v>
      </c>
      <c r="M71" s="34"/>
      <c r="N71" s="34"/>
      <c r="O71" s="34"/>
      <c r="P71" s="34"/>
      <c r="Q71" s="34"/>
      <c r="R71" s="217"/>
      <c r="S71" s="217"/>
    </row>
    <row r="72">
      <c r="A72" s="217"/>
      <c r="B72" s="217"/>
      <c r="C72" s="228" t="s">
        <v>594</v>
      </c>
      <c r="D72" s="228" t="s">
        <v>613</v>
      </c>
      <c r="E72" s="217"/>
      <c r="F72" s="217"/>
      <c r="G72" s="34"/>
      <c r="H72" s="211" t="s">
        <v>614</v>
      </c>
      <c r="I72" s="212">
        <v>116.0</v>
      </c>
      <c r="J72" s="220" t="s">
        <v>615</v>
      </c>
      <c r="K72" s="214" t="s">
        <v>616</v>
      </c>
      <c r="L72" s="89">
        <v>17.0</v>
      </c>
      <c r="M72" s="34"/>
      <c r="N72" s="34"/>
      <c r="O72" s="34"/>
      <c r="P72" s="34"/>
      <c r="Q72" s="34"/>
      <c r="R72" s="217"/>
      <c r="S72" s="217"/>
    </row>
    <row r="73">
      <c r="A73" s="217"/>
      <c r="B73" s="217"/>
      <c r="C73" s="228" t="s">
        <v>604</v>
      </c>
      <c r="D73" s="228" t="s">
        <v>270</v>
      </c>
      <c r="E73" s="217"/>
      <c r="F73" s="217"/>
      <c r="G73" s="34"/>
      <c r="H73" s="211" t="s">
        <v>617</v>
      </c>
      <c r="I73" s="212">
        <v>117.0</v>
      </c>
      <c r="J73" s="220" t="s">
        <v>618</v>
      </c>
      <c r="K73" s="214" t="s">
        <v>619</v>
      </c>
      <c r="L73" s="89">
        <v>106.0</v>
      </c>
      <c r="M73" s="34"/>
      <c r="N73" s="34"/>
      <c r="O73" s="34"/>
      <c r="P73" s="34"/>
      <c r="Q73" s="34"/>
      <c r="R73" s="217"/>
      <c r="S73" s="217"/>
    </row>
    <row r="74">
      <c r="A74" s="217"/>
      <c r="B74" s="217"/>
      <c r="C74" s="228" t="s">
        <v>607</v>
      </c>
      <c r="D74" s="228" t="s">
        <v>270</v>
      </c>
      <c r="E74" s="217"/>
      <c r="F74" s="217"/>
      <c r="G74" s="34"/>
      <c r="H74" s="211" t="s">
        <v>620</v>
      </c>
      <c r="I74" s="212">
        <v>170.0</v>
      </c>
      <c r="J74" s="220" t="s">
        <v>621</v>
      </c>
      <c r="K74" s="214" t="s">
        <v>622</v>
      </c>
      <c r="L74" s="89">
        <v>18.0</v>
      </c>
      <c r="M74" s="34"/>
      <c r="N74" s="34"/>
      <c r="O74" s="34"/>
      <c r="P74" s="34"/>
      <c r="Q74" s="34"/>
      <c r="R74" s="217"/>
      <c r="S74" s="217"/>
    </row>
    <row r="75">
      <c r="A75" s="217"/>
      <c r="B75" s="217"/>
      <c r="C75" s="228" t="s">
        <v>623</v>
      </c>
      <c r="D75" s="228" t="s">
        <v>270</v>
      </c>
      <c r="E75" s="217"/>
      <c r="F75" s="217"/>
      <c r="G75" s="34"/>
      <c r="H75" s="211" t="s">
        <v>624</v>
      </c>
      <c r="I75" s="212">
        <v>71.0</v>
      </c>
      <c r="J75" s="220" t="s">
        <v>625</v>
      </c>
      <c r="K75" s="214" t="s">
        <v>626</v>
      </c>
      <c r="L75" s="89">
        <v>19.0</v>
      </c>
      <c r="M75" s="34"/>
      <c r="N75" s="34"/>
      <c r="O75" s="34"/>
      <c r="P75" s="34"/>
      <c r="Q75" s="34"/>
      <c r="R75" s="217"/>
      <c r="S75" s="217"/>
    </row>
    <row r="76">
      <c r="A76" s="217"/>
      <c r="B76" s="217"/>
      <c r="C76" s="228" t="s">
        <v>627</v>
      </c>
      <c r="D76" s="228" t="s">
        <v>270</v>
      </c>
      <c r="E76" s="217"/>
      <c r="F76" s="217"/>
      <c r="G76" s="34"/>
      <c r="H76" s="211" t="s">
        <v>313</v>
      </c>
      <c r="I76" s="212">
        <v>23.0</v>
      </c>
      <c r="J76" s="220" t="s">
        <v>628</v>
      </c>
      <c r="K76" s="214" t="s">
        <v>629</v>
      </c>
      <c r="L76" s="89">
        <v>111.0</v>
      </c>
      <c r="M76" s="34"/>
      <c r="N76" s="34"/>
      <c r="O76" s="34"/>
      <c r="P76" s="34"/>
      <c r="Q76" s="34"/>
      <c r="R76" s="217"/>
      <c r="S76" s="217"/>
    </row>
    <row r="77">
      <c r="A77" s="217"/>
      <c r="B77" s="217"/>
      <c r="C77" s="228" t="s">
        <v>630</v>
      </c>
      <c r="D77" s="228" t="s">
        <v>270</v>
      </c>
      <c r="E77" s="217"/>
      <c r="F77" s="217"/>
      <c r="G77" s="34"/>
      <c r="H77" s="211" t="s">
        <v>319</v>
      </c>
      <c r="I77" s="212">
        <v>30.0</v>
      </c>
      <c r="J77" s="220" t="s">
        <v>631</v>
      </c>
      <c r="K77" s="214" t="s">
        <v>632</v>
      </c>
      <c r="L77" s="89">
        <v>109.0</v>
      </c>
      <c r="M77" s="34"/>
      <c r="N77" s="34"/>
      <c r="O77" s="34"/>
      <c r="P77" s="34"/>
      <c r="Q77" s="34"/>
      <c r="R77" s="217"/>
      <c r="S77" s="217"/>
    </row>
    <row r="78">
      <c r="A78" s="217"/>
      <c r="B78" s="217"/>
      <c r="C78" s="228" t="s">
        <v>633</v>
      </c>
      <c r="D78" s="228" t="s">
        <v>270</v>
      </c>
      <c r="E78" s="217"/>
      <c r="F78" s="217"/>
      <c r="G78" s="34"/>
      <c r="H78" s="211" t="s">
        <v>634</v>
      </c>
      <c r="I78" s="212">
        <v>92.0</v>
      </c>
      <c r="J78" s="220" t="s">
        <v>635</v>
      </c>
      <c r="K78" s="214" t="s">
        <v>636</v>
      </c>
      <c r="L78" s="89">
        <v>20.0</v>
      </c>
      <c r="M78" s="34"/>
      <c r="N78" s="34"/>
      <c r="O78" s="34"/>
      <c r="P78" s="34"/>
      <c r="Q78" s="34"/>
      <c r="R78" s="217"/>
      <c r="S78" s="217"/>
    </row>
    <row r="79">
      <c r="A79" s="217"/>
      <c r="B79" s="217"/>
      <c r="C79" s="228" t="s">
        <v>637</v>
      </c>
      <c r="D79" s="228" t="s">
        <v>638</v>
      </c>
      <c r="E79" s="217"/>
      <c r="F79" s="217"/>
      <c r="G79" s="34"/>
      <c r="H79" s="211" t="s">
        <v>639</v>
      </c>
      <c r="I79" s="212">
        <v>93.0</v>
      </c>
      <c r="J79" s="220" t="s">
        <v>640</v>
      </c>
      <c r="K79" s="214" t="s">
        <v>641</v>
      </c>
      <c r="L79" s="89">
        <v>107.0</v>
      </c>
      <c r="M79" s="34"/>
      <c r="N79" s="34"/>
      <c r="O79" s="34"/>
      <c r="P79" s="34"/>
      <c r="Q79" s="34"/>
      <c r="R79" s="217"/>
      <c r="S79" s="217"/>
    </row>
    <row r="80">
      <c r="A80" s="217"/>
      <c r="B80" s="217"/>
      <c r="C80" s="228" t="s">
        <v>642</v>
      </c>
      <c r="D80" s="228" t="s">
        <v>643</v>
      </c>
      <c r="E80" s="217"/>
      <c r="F80" s="217"/>
      <c r="G80" s="34"/>
      <c r="H80" s="211" t="s">
        <v>644</v>
      </c>
      <c r="I80" s="212">
        <v>94.0</v>
      </c>
      <c r="J80" s="220" t="s">
        <v>645</v>
      </c>
      <c r="K80" s="214" t="s">
        <v>646</v>
      </c>
      <c r="L80" s="89">
        <v>108.0</v>
      </c>
      <c r="M80" s="34"/>
      <c r="N80" s="34"/>
      <c r="O80" s="34"/>
      <c r="P80" s="34"/>
      <c r="Q80" s="34"/>
      <c r="R80" s="217"/>
      <c r="S80" s="217"/>
    </row>
    <row r="81">
      <c r="A81" s="217"/>
      <c r="B81" s="217"/>
      <c r="C81" s="228" t="s">
        <v>647</v>
      </c>
      <c r="D81" s="228" t="s">
        <v>270</v>
      </c>
      <c r="E81" s="217"/>
      <c r="F81" s="217"/>
      <c r="G81" s="34"/>
      <c r="H81" s="211" t="s">
        <v>648</v>
      </c>
      <c r="I81" s="212">
        <v>95.0</v>
      </c>
      <c r="J81" s="220" t="s">
        <v>649</v>
      </c>
      <c r="K81" s="214" t="s">
        <v>650</v>
      </c>
      <c r="L81" s="89">
        <v>112.0</v>
      </c>
      <c r="M81" s="34"/>
      <c r="N81" s="34"/>
      <c r="O81" s="34"/>
      <c r="P81" s="34"/>
      <c r="Q81" s="34"/>
      <c r="R81" s="217"/>
      <c r="S81" s="217"/>
    </row>
    <row r="82">
      <c r="A82" s="217"/>
      <c r="B82" s="217"/>
      <c r="C82" s="228" t="s">
        <v>651</v>
      </c>
      <c r="D82" s="228" t="s">
        <v>652</v>
      </c>
      <c r="E82" s="217"/>
      <c r="F82" s="217"/>
      <c r="G82" s="34"/>
      <c r="H82" s="211" t="s">
        <v>653</v>
      </c>
      <c r="I82" s="212">
        <v>96.0</v>
      </c>
      <c r="J82" s="220" t="s">
        <v>654</v>
      </c>
      <c r="K82" s="214" t="s">
        <v>655</v>
      </c>
      <c r="L82" s="89">
        <v>110.0</v>
      </c>
      <c r="M82" s="34"/>
      <c r="N82" s="34"/>
      <c r="O82" s="34"/>
      <c r="P82" s="34"/>
      <c r="Q82" s="34"/>
      <c r="R82" s="217"/>
      <c r="S82" s="217"/>
    </row>
    <row r="83">
      <c r="A83" s="217"/>
      <c r="B83" s="217"/>
      <c r="C83" s="228" t="s">
        <v>656</v>
      </c>
      <c r="D83" s="228" t="s">
        <v>270</v>
      </c>
      <c r="E83" s="217"/>
      <c r="F83" s="217"/>
      <c r="G83" s="34"/>
      <c r="H83" s="211" t="s">
        <v>657</v>
      </c>
      <c r="I83" s="212">
        <v>97.0</v>
      </c>
      <c r="J83" s="220" t="s">
        <v>492</v>
      </c>
      <c r="K83" s="214" t="s">
        <v>658</v>
      </c>
      <c r="L83" s="89">
        <v>55.0</v>
      </c>
      <c r="M83" s="34"/>
      <c r="N83" s="34"/>
      <c r="O83" s="34"/>
      <c r="P83" s="34"/>
      <c r="Q83" s="34"/>
      <c r="R83" s="217"/>
      <c r="S83" s="217"/>
    </row>
    <row r="84">
      <c r="A84" s="217"/>
      <c r="B84" s="217"/>
      <c r="C84" s="228" t="s">
        <v>659</v>
      </c>
      <c r="D84" s="228" t="s">
        <v>270</v>
      </c>
      <c r="E84" s="217"/>
      <c r="F84" s="217"/>
      <c r="G84" s="34"/>
      <c r="H84" s="211" t="s">
        <v>660</v>
      </c>
      <c r="I84" s="212">
        <v>98.0</v>
      </c>
      <c r="J84" s="220" t="s">
        <v>661</v>
      </c>
      <c r="K84" s="214" t="s">
        <v>662</v>
      </c>
      <c r="L84" s="89">
        <v>21.0</v>
      </c>
      <c r="M84" s="34"/>
      <c r="N84" s="34"/>
      <c r="O84" s="34"/>
      <c r="P84" s="34"/>
      <c r="Q84" s="34"/>
      <c r="R84" s="217"/>
      <c r="S84" s="217"/>
    </row>
    <row r="85">
      <c r="A85" s="217"/>
      <c r="B85" s="217"/>
      <c r="C85" s="228" t="s">
        <v>663</v>
      </c>
      <c r="D85" s="228" t="s">
        <v>664</v>
      </c>
      <c r="E85" s="217"/>
      <c r="F85" s="217"/>
      <c r="G85" s="34"/>
      <c r="H85" s="211" t="s">
        <v>665</v>
      </c>
      <c r="I85" s="212">
        <v>99.0</v>
      </c>
      <c r="J85" s="220" t="s">
        <v>666</v>
      </c>
      <c r="K85" s="214" t="s">
        <v>667</v>
      </c>
      <c r="L85" s="89">
        <v>22.0</v>
      </c>
      <c r="M85" s="34"/>
      <c r="N85" s="34"/>
      <c r="O85" s="34"/>
      <c r="P85" s="34"/>
      <c r="Q85" s="34"/>
      <c r="R85" s="217"/>
      <c r="S85" s="217"/>
    </row>
    <row r="86">
      <c r="A86" s="217"/>
      <c r="B86" s="217"/>
      <c r="C86" s="228" t="s">
        <v>668</v>
      </c>
      <c r="D86" s="228" t="s">
        <v>270</v>
      </c>
      <c r="E86" s="217"/>
      <c r="F86" s="217"/>
      <c r="G86" s="34"/>
      <c r="H86" s="211" t="s">
        <v>669</v>
      </c>
      <c r="I86" s="212">
        <v>100.0</v>
      </c>
      <c r="J86" s="220" t="s">
        <v>670</v>
      </c>
      <c r="K86" s="214" t="s">
        <v>671</v>
      </c>
      <c r="L86" s="89">
        <v>113.0</v>
      </c>
      <c r="M86" s="34"/>
      <c r="N86" s="34"/>
      <c r="O86" s="34"/>
      <c r="P86" s="34"/>
      <c r="Q86" s="34"/>
      <c r="R86" s="217"/>
      <c r="S86" s="217"/>
    </row>
    <row r="87">
      <c r="A87" s="217"/>
      <c r="B87" s="217"/>
      <c r="C87" s="228" t="s">
        <v>672</v>
      </c>
      <c r="D87" s="228" t="s">
        <v>673</v>
      </c>
      <c r="E87" s="217"/>
      <c r="F87" s="217"/>
      <c r="G87" s="34"/>
      <c r="H87" s="211" t="s">
        <v>674</v>
      </c>
      <c r="I87" s="212">
        <v>118.0</v>
      </c>
      <c r="J87" s="220" t="s">
        <v>675</v>
      </c>
      <c r="K87" s="214" t="s">
        <v>676</v>
      </c>
      <c r="L87" s="89">
        <v>114.0</v>
      </c>
      <c r="M87" s="34"/>
      <c r="N87" s="34"/>
      <c r="O87" s="34"/>
      <c r="P87" s="34"/>
      <c r="Q87" s="34"/>
      <c r="R87" s="217"/>
      <c r="S87" s="217"/>
    </row>
    <row r="88">
      <c r="A88" s="217"/>
      <c r="B88" s="217"/>
      <c r="C88" s="228" t="s">
        <v>677</v>
      </c>
      <c r="D88" s="228" t="s">
        <v>270</v>
      </c>
      <c r="E88" s="217"/>
      <c r="F88" s="217"/>
      <c r="G88" s="34"/>
      <c r="H88" s="211" t="s">
        <v>678</v>
      </c>
      <c r="I88" s="212">
        <v>80.0</v>
      </c>
      <c r="J88" s="220" t="s">
        <v>679</v>
      </c>
      <c r="K88" s="214" t="s">
        <v>680</v>
      </c>
      <c r="L88" s="89">
        <v>115.0</v>
      </c>
      <c r="M88" s="34"/>
      <c r="N88" s="34"/>
      <c r="O88" s="34"/>
      <c r="P88" s="34"/>
      <c r="Q88" s="34"/>
      <c r="R88" s="217"/>
      <c r="S88" s="217"/>
    </row>
    <row r="89">
      <c r="A89" s="217"/>
      <c r="B89" s="217"/>
      <c r="C89" s="228" t="s">
        <v>681</v>
      </c>
      <c r="D89" s="228" t="s">
        <v>270</v>
      </c>
      <c r="E89" s="217"/>
      <c r="F89" s="217"/>
      <c r="G89" s="34"/>
      <c r="H89" s="211" t="s">
        <v>325</v>
      </c>
      <c r="I89" s="212">
        <v>31.0</v>
      </c>
      <c r="J89" s="220" t="s">
        <v>682</v>
      </c>
      <c r="K89" s="214" t="s">
        <v>683</v>
      </c>
      <c r="L89" s="89">
        <v>116.0</v>
      </c>
      <c r="M89" s="34"/>
      <c r="N89" s="34"/>
      <c r="O89" s="34"/>
      <c r="P89" s="34"/>
      <c r="Q89" s="34"/>
      <c r="R89" s="217"/>
      <c r="S89" s="217"/>
    </row>
    <row r="90">
      <c r="A90" s="217"/>
      <c r="B90" s="217"/>
      <c r="C90" s="228" t="s">
        <v>684</v>
      </c>
      <c r="D90" s="228" t="s">
        <v>685</v>
      </c>
      <c r="E90" s="217"/>
      <c r="F90" s="217"/>
      <c r="G90" s="34"/>
      <c r="H90" s="211" t="s">
        <v>686</v>
      </c>
      <c r="I90" s="212">
        <v>104.0</v>
      </c>
      <c r="J90" s="220" t="s">
        <v>687</v>
      </c>
      <c r="K90" s="214" t="s">
        <v>688</v>
      </c>
      <c r="L90" s="89">
        <v>117.0</v>
      </c>
      <c r="M90" s="34"/>
      <c r="N90" s="34"/>
      <c r="O90" s="34"/>
      <c r="P90" s="34"/>
      <c r="Q90" s="34"/>
      <c r="R90" s="217"/>
      <c r="S90" s="217"/>
    </row>
    <row r="91">
      <c r="A91" s="217"/>
      <c r="B91" s="217"/>
      <c r="C91" s="228" t="s">
        <v>689</v>
      </c>
      <c r="D91" s="228" t="s">
        <v>690</v>
      </c>
      <c r="E91" s="217"/>
      <c r="F91" s="217"/>
      <c r="G91" s="34"/>
      <c r="H91" s="211" t="s">
        <v>691</v>
      </c>
      <c r="I91" s="212">
        <v>105.0</v>
      </c>
      <c r="J91" s="220" t="s">
        <v>692</v>
      </c>
      <c r="K91" s="214" t="s">
        <v>693</v>
      </c>
      <c r="L91" s="89">
        <v>23.0</v>
      </c>
      <c r="M91" s="34"/>
      <c r="N91" s="34"/>
      <c r="O91" s="34"/>
      <c r="P91" s="34"/>
      <c r="Q91" s="34"/>
      <c r="R91" s="217"/>
      <c r="S91" s="217"/>
    </row>
    <row r="92">
      <c r="A92" s="217"/>
      <c r="B92" s="217"/>
      <c r="C92" s="228" t="s">
        <v>694</v>
      </c>
      <c r="D92" s="228" t="s">
        <v>695</v>
      </c>
      <c r="E92" s="217"/>
      <c r="F92" s="217"/>
      <c r="G92" s="34"/>
      <c r="H92" s="211" t="s">
        <v>696</v>
      </c>
      <c r="I92" s="212">
        <v>106.0</v>
      </c>
      <c r="J92" s="220" t="s">
        <v>697</v>
      </c>
      <c r="K92" s="214" t="s">
        <v>698</v>
      </c>
      <c r="L92" s="89">
        <v>119.0</v>
      </c>
      <c r="M92" s="34"/>
      <c r="N92" s="34"/>
      <c r="O92" s="34"/>
      <c r="P92" s="34"/>
      <c r="Q92" s="34"/>
      <c r="R92" s="217"/>
      <c r="S92" s="217"/>
    </row>
    <row r="93">
      <c r="A93" s="217"/>
      <c r="B93" s="217"/>
      <c r="C93" s="228" t="s">
        <v>699</v>
      </c>
      <c r="D93" s="228" t="s">
        <v>270</v>
      </c>
      <c r="E93" s="217"/>
      <c r="F93" s="217"/>
      <c r="G93" s="34"/>
      <c r="H93" s="211" t="s">
        <v>700</v>
      </c>
      <c r="I93" s="212">
        <v>107.0</v>
      </c>
      <c r="J93" s="220" t="s">
        <v>701</v>
      </c>
      <c r="K93" s="214" t="s">
        <v>702</v>
      </c>
      <c r="L93" s="89">
        <v>120.0</v>
      </c>
      <c r="M93" s="34"/>
      <c r="N93" s="34"/>
      <c r="O93" s="34"/>
      <c r="P93" s="34"/>
      <c r="Q93" s="34"/>
      <c r="R93" s="217"/>
      <c r="S93" s="217"/>
    </row>
    <row r="94">
      <c r="A94" s="217"/>
      <c r="B94" s="217"/>
      <c r="C94" s="228" t="s">
        <v>703</v>
      </c>
      <c r="D94" s="228" t="s">
        <v>704</v>
      </c>
      <c r="E94" s="217"/>
      <c r="F94" s="217"/>
      <c r="G94" s="34"/>
      <c r="H94" s="211" t="s">
        <v>705</v>
      </c>
      <c r="I94" s="212">
        <v>171.0</v>
      </c>
      <c r="J94" s="220" t="s">
        <v>706</v>
      </c>
      <c r="K94" s="214" t="s">
        <v>707</v>
      </c>
      <c r="L94" s="89">
        <v>121.0</v>
      </c>
      <c r="M94" s="34"/>
      <c r="N94" s="34"/>
      <c r="O94" s="34"/>
      <c r="P94" s="34"/>
      <c r="Q94" s="34"/>
      <c r="R94" s="217"/>
      <c r="S94" s="217"/>
    </row>
    <row r="95">
      <c r="A95" s="217"/>
      <c r="B95" s="217"/>
      <c r="C95" s="228" t="s">
        <v>708</v>
      </c>
      <c r="D95" s="228" t="s">
        <v>709</v>
      </c>
      <c r="E95" s="217"/>
      <c r="F95" s="217"/>
      <c r="G95" s="34"/>
      <c r="H95" s="211" t="s">
        <v>710</v>
      </c>
      <c r="I95" s="212">
        <v>172.0</v>
      </c>
      <c r="J95" s="220" t="s">
        <v>711</v>
      </c>
      <c r="K95" s="214" t="s">
        <v>712</v>
      </c>
      <c r="L95" s="89">
        <v>122.0</v>
      </c>
      <c r="M95" s="34"/>
      <c r="N95" s="34"/>
      <c r="O95" s="34"/>
      <c r="P95" s="34"/>
      <c r="Q95" s="34"/>
      <c r="R95" s="217"/>
      <c r="S95" s="217"/>
    </row>
    <row r="96">
      <c r="A96" s="217"/>
      <c r="B96" s="217"/>
      <c r="C96" s="228" t="s">
        <v>713</v>
      </c>
      <c r="D96" s="228" t="s">
        <v>270</v>
      </c>
      <c r="E96" s="217"/>
      <c r="F96" s="217"/>
      <c r="G96" s="34"/>
      <c r="H96" s="211" t="s">
        <v>714</v>
      </c>
      <c r="I96" s="212">
        <v>173.0</v>
      </c>
      <c r="J96" s="220" t="s">
        <v>715</v>
      </c>
      <c r="K96" s="214" t="s">
        <v>716</v>
      </c>
      <c r="L96" s="89">
        <v>123.0</v>
      </c>
      <c r="M96" s="34"/>
      <c r="N96" s="34"/>
      <c r="O96" s="34"/>
      <c r="P96" s="34"/>
      <c r="Q96" s="34"/>
      <c r="R96" s="217"/>
      <c r="S96" s="217"/>
    </row>
    <row r="97">
      <c r="A97" s="217"/>
      <c r="B97" s="217"/>
      <c r="C97" s="228" t="s">
        <v>717</v>
      </c>
      <c r="D97" s="228" t="s">
        <v>270</v>
      </c>
      <c r="E97" s="217"/>
      <c r="F97" s="217"/>
      <c r="G97" s="34"/>
      <c r="H97" s="211" t="s">
        <v>718</v>
      </c>
      <c r="I97" s="212">
        <v>174.0</v>
      </c>
      <c r="J97" s="220" t="s">
        <v>719</v>
      </c>
      <c r="K97" s="214" t="s">
        <v>720</v>
      </c>
      <c r="L97" s="89">
        <v>197.0</v>
      </c>
      <c r="M97" s="34"/>
      <c r="N97" s="34"/>
      <c r="O97" s="34"/>
      <c r="P97" s="34"/>
      <c r="Q97" s="34"/>
      <c r="R97" s="217"/>
      <c r="S97" s="217"/>
    </row>
    <row r="98">
      <c r="A98" s="217"/>
      <c r="B98" s="217"/>
      <c r="C98" s="228" t="s">
        <v>721</v>
      </c>
      <c r="D98" s="228" t="s">
        <v>270</v>
      </c>
      <c r="E98" s="217"/>
      <c r="F98" s="217"/>
      <c r="G98" s="34"/>
      <c r="H98" s="211" t="s">
        <v>722</v>
      </c>
      <c r="I98" s="212">
        <v>578.0</v>
      </c>
      <c r="J98" s="220" t="s">
        <v>723</v>
      </c>
      <c r="K98" s="214" t="s">
        <v>720</v>
      </c>
      <c r="L98" s="89">
        <v>201.0</v>
      </c>
      <c r="M98" s="34"/>
      <c r="N98" s="34"/>
      <c r="O98" s="34"/>
      <c r="P98" s="34"/>
      <c r="Q98" s="34"/>
      <c r="R98" s="217"/>
      <c r="S98" s="217"/>
    </row>
    <row r="99">
      <c r="A99" s="217"/>
      <c r="B99" s="217"/>
      <c r="C99" s="228" t="s">
        <v>724</v>
      </c>
      <c r="D99" s="228" t="s">
        <v>725</v>
      </c>
      <c r="E99" s="217"/>
      <c r="F99" s="217"/>
      <c r="G99" s="34"/>
      <c r="H99" s="211" t="s">
        <v>726</v>
      </c>
      <c r="I99" s="212">
        <v>175.0</v>
      </c>
      <c r="J99" s="220" t="s">
        <v>727</v>
      </c>
      <c r="K99" s="214" t="s">
        <v>434</v>
      </c>
      <c r="L99" s="89">
        <v>24.0</v>
      </c>
      <c r="M99" s="34"/>
      <c r="N99" s="34"/>
      <c r="O99" s="34"/>
      <c r="P99" s="34"/>
      <c r="Q99" s="34"/>
      <c r="R99" s="217"/>
      <c r="S99" s="217"/>
    </row>
    <row r="100">
      <c r="A100" s="217"/>
      <c r="B100" s="217"/>
      <c r="C100" s="228" t="s">
        <v>728</v>
      </c>
      <c r="D100" s="228" t="s">
        <v>729</v>
      </c>
      <c r="E100" s="217"/>
      <c r="F100" s="217"/>
      <c r="G100" s="34"/>
      <c r="H100" s="211" t="s">
        <v>730</v>
      </c>
      <c r="I100" s="212">
        <v>176.0</v>
      </c>
      <c r="J100" s="220" t="s">
        <v>731</v>
      </c>
      <c r="K100" s="214" t="s">
        <v>732</v>
      </c>
      <c r="L100" s="89">
        <v>125.0</v>
      </c>
      <c r="M100" s="34"/>
      <c r="N100" s="34"/>
      <c r="O100" s="34"/>
      <c r="P100" s="34"/>
      <c r="Q100" s="34"/>
      <c r="R100" s="217"/>
      <c r="S100" s="217"/>
    </row>
    <row r="101">
      <c r="A101" s="217"/>
      <c r="B101" s="217"/>
      <c r="C101" s="228" t="s">
        <v>733</v>
      </c>
      <c r="D101" s="228" t="s">
        <v>270</v>
      </c>
      <c r="E101" s="217"/>
      <c r="F101" s="217"/>
      <c r="G101" s="34"/>
      <c r="H101" s="211" t="s">
        <v>734</v>
      </c>
      <c r="I101" s="212">
        <v>177.0</v>
      </c>
      <c r="J101" s="220" t="s">
        <v>735</v>
      </c>
      <c r="K101" s="214" t="s">
        <v>736</v>
      </c>
      <c r="L101" s="89">
        <v>124.0</v>
      </c>
      <c r="M101" s="34"/>
      <c r="N101" s="34"/>
      <c r="O101" s="34"/>
      <c r="P101" s="34"/>
      <c r="Q101" s="34"/>
      <c r="R101" s="217"/>
      <c r="S101" s="217"/>
    </row>
    <row r="102">
      <c r="A102" s="217"/>
      <c r="B102" s="217"/>
      <c r="C102" s="228" t="s">
        <v>737</v>
      </c>
      <c r="D102" s="228" t="s">
        <v>270</v>
      </c>
      <c r="E102" s="217"/>
      <c r="F102" s="217"/>
      <c r="G102" s="34"/>
      <c r="H102" s="211" t="s">
        <v>738</v>
      </c>
      <c r="I102" s="212">
        <v>178.0</v>
      </c>
      <c r="J102" s="220" t="s">
        <v>739</v>
      </c>
      <c r="K102" s="214" t="s">
        <v>740</v>
      </c>
      <c r="L102" s="89">
        <v>25.0</v>
      </c>
      <c r="M102" s="34"/>
      <c r="N102" s="34"/>
      <c r="O102" s="34"/>
      <c r="P102" s="34"/>
      <c r="Q102" s="34"/>
      <c r="R102" s="217"/>
      <c r="S102" s="217"/>
    </row>
    <row r="103">
      <c r="A103" s="217"/>
      <c r="B103" s="217"/>
      <c r="C103" s="228" t="s">
        <v>741</v>
      </c>
      <c r="D103" s="228" t="s">
        <v>742</v>
      </c>
      <c r="E103" s="217"/>
      <c r="F103" s="217"/>
      <c r="G103" s="34"/>
      <c r="H103" s="211" t="s">
        <v>743</v>
      </c>
      <c r="I103" s="212">
        <v>179.0</v>
      </c>
      <c r="J103" s="220" t="s">
        <v>744</v>
      </c>
      <c r="K103" s="214" t="s">
        <v>439</v>
      </c>
      <c r="L103" s="89">
        <v>56.0</v>
      </c>
      <c r="M103" s="34"/>
      <c r="N103" s="34"/>
      <c r="O103" s="34"/>
      <c r="P103" s="34"/>
      <c r="Q103" s="34"/>
      <c r="R103" s="217"/>
      <c r="S103" s="217"/>
    </row>
    <row r="104">
      <c r="A104" s="217"/>
      <c r="B104" s="217"/>
      <c r="C104" s="228" t="s">
        <v>561</v>
      </c>
      <c r="D104" s="228" t="s">
        <v>745</v>
      </c>
      <c r="E104" s="217"/>
      <c r="F104" s="217"/>
      <c r="G104" s="34"/>
      <c r="H104" s="211" t="s">
        <v>746</v>
      </c>
      <c r="I104" s="212">
        <v>180.0</v>
      </c>
      <c r="J104" s="220" t="s">
        <v>747</v>
      </c>
      <c r="K104" s="214" t="s">
        <v>748</v>
      </c>
      <c r="L104" s="89">
        <v>26.0</v>
      </c>
      <c r="M104" s="34"/>
      <c r="N104" s="34"/>
      <c r="O104" s="34"/>
      <c r="P104" s="34"/>
      <c r="Q104" s="34"/>
      <c r="R104" s="217"/>
      <c r="S104" s="217"/>
    </row>
    <row r="105">
      <c r="A105" s="217"/>
      <c r="B105" s="217"/>
      <c r="C105" s="228" t="s">
        <v>749</v>
      </c>
      <c r="D105" s="228" t="s">
        <v>750</v>
      </c>
      <c r="E105" s="217"/>
      <c r="F105" s="217"/>
      <c r="G105" s="34"/>
      <c r="H105" s="211" t="s">
        <v>751</v>
      </c>
      <c r="I105" s="212">
        <v>72.0</v>
      </c>
      <c r="J105" s="220" t="s">
        <v>752</v>
      </c>
      <c r="K105" s="214" t="s">
        <v>753</v>
      </c>
      <c r="L105" s="89">
        <v>128.0</v>
      </c>
      <c r="M105" s="34"/>
      <c r="N105" s="34"/>
      <c r="O105" s="34"/>
      <c r="P105" s="34"/>
      <c r="Q105" s="34"/>
      <c r="R105" s="217"/>
      <c r="S105" s="217"/>
    </row>
    <row r="106">
      <c r="A106" s="217"/>
      <c r="B106" s="217"/>
      <c r="C106" s="228" t="s">
        <v>754</v>
      </c>
      <c r="D106" s="228" t="s">
        <v>755</v>
      </c>
      <c r="E106" s="217"/>
      <c r="F106" s="217"/>
      <c r="G106" s="34"/>
      <c r="H106" s="211" t="s">
        <v>756</v>
      </c>
      <c r="I106" s="212">
        <v>108.0</v>
      </c>
      <c r="J106" s="220" t="s">
        <v>757</v>
      </c>
      <c r="K106" s="214" t="s">
        <v>758</v>
      </c>
      <c r="L106" s="89">
        <v>129.0</v>
      </c>
      <c r="M106" s="34"/>
      <c r="N106" s="34"/>
      <c r="O106" s="34"/>
      <c r="P106" s="34"/>
      <c r="Q106" s="34"/>
      <c r="R106" s="217"/>
      <c r="S106" s="217"/>
    </row>
    <row r="107">
      <c r="A107" s="217"/>
      <c r="B107" s="217"/>
      <c r="C107" s="228" t="s">
        <v>759</v>
      </c>
      <c r="D107" s="228" t="s">
        <v>760</v>
      </c>
      <c r="E107" s="217"/>
      <c r="F107" s="217"/>
      <c r="G107" s="34"/>
      <c r="H107" s="211" t="s">
        <v>540</v>
      </c>
      <c r="I107" s="212">
        <v>251.0</v>
      </c>
      <c r="J107" s="220" t="s">
        <v>761</v>
      </c>
      <c r="K107" s="214" t="s">
        <v>762</v>
      </c>
      <c r="L107" s="89">
        <v>27.0</v>
      </c>
      <c r="M107" s="34"/>
      <c r="N107" s="34"/>
      <c r="O107" s="34"/>
      <c r="P107" s="34"/>
      <c r="Q107" s="34"/>
      <c r="R107" s="217"/>
      <c r="S107" s="217"/>
    </row>
    <row r="108">
      <c r="A108" s="217"/>
      <c r="B108" s="217"/>
      <c r="C108" s="228" t="s">
        <v>763</v>
      </c>
      <c r="D108" s="228" t="s">
        <v>764</v>
      </c>
      <c r="E108" s="217"/>
      <c r="F108" s="217"/>
      <c r="G108" s="34"/>
      <c r="H108" s="211" t="s">
        <v>332</v>
      </c>
      <c r="I108" s="212">
        <v>32.0</v>
      </c>
      <c r="J108" s="220" t="s">
        <v>765</v>
      </c>
      <c r="K108" s="214" t="s">
        <v>766</v>
      </c>
      <c r="L108" s="89">
        <v>130.0</v>
      </c>
      <c r="M108" s="34"/>
      <c r="N108" s="34"/>
      <c r="O108" s="34"/>
      <c r="P108" s="34"/>
      <c r="Q108" s="34"/>
      <c r="R108" s="217"/>
      <c r="S108" s="217"/>
    </row>
    <row r="109">
      <c r="A109" s="217"/>
      <c r="B109" s="217"/>
      <c r="C109" s="228" t="s">
        <v>767</v>
      </c>
      <c r="D109" s="228" t="s">
        <v>768</v>
      </c>
      <c r="E109" s="217"/>
      <c r="F109" s="217"/>
      <c r="G109" s="34"/>
      <c r="H109" s="211" t="s">
        <v>769</v>
      </c>
      <c r="I109" s="212">
        <v>119.0</v>
      </c>
      <c r="J109" s="220" t="s">
        <v>770</v>
      </c>
      <c r="K109" s="214" t="s">
        <v>771</v>
      </c>
      <c r="L109" s="89">
        <v>126.0</v>
      </c>
      <c r="M109" s="34"/>
      <c r="N109" s="34"/>
      <c r="O109" s="34"/>
      <c r="P109" s="34"/>
      <c r="Q109" s="34"/>
      <c r="R109" s="217"/>
      <c r="S109" s="217"/>
    </row>
    <row r="110">
      <c r="A110" s="217"/>
      <c r="B110" s="217"/>
      <c r="C110" s="228" t="s">
        <v>772</v>
      </c>
      <c r="D110" s="228" t="s">
        <v>270</v>
      </c>
      <c r="E110" s="217"/>
      <c r="F110" s="217"/>
      <c r="G110" s="34"/>
      <c r="H110" s="211" t="s">
        <v>773</v>
      </c>
      <c r="I110" s="212">
        <v>121.0</v>
      </c>
      <c r="J110" s="220" t="s">
        <v>774</v>
      </c>
      <c r="K110" s="214" t="s">
        <v>775</v>
      </c>
      <c r="L110" s="89">
        <v>132.0</v>
      </c>
      <c r="M110" s="34"/>
      <c r="N110" s="34"/>
      <c r="O110" s="34"/>
      <c r="P110" s="34"/>
      <c r="Q110" s="34"/>
      <c r="R110" s="217"/>
      <c r="S110" s="217"/>
    </row>
    <row r="111">
      <c r="A111" s="217"/>
      <c r="B111" s="217"/>
      <c r="C111" s="228" t="s">
        <v>352</v>
      </c>
      <c r="D111" s="228" t="s">
        <v>776</v>
      </c>
      <c r="E111" s="217"/>
      <c r="F111" s="217"/>
      <c r="G111" s="34"/>
      <c r="H111" s="211" t="s">
        <v>777</v>
      </c>
      <c r="I111" s="212">
        <v>60.0</v>
      </c>
      <c r="J111" s="220" t="s">
        <v>778</v>
      </c>
      <c r="K111" s="214" t="s">
        <v>779</v>
      </c>
      <c r="L111" s="89">
        <v>133.0</v>
      </c>
      <c r="M111" s="34"/>
      <c r="N111" s="34"/>
      <c r="O111" s="34"/>
      <c r="P111" s="34"/>
      <c r="Q111" s="34"/>
      <c r="R111" s="217"/>
      <c r="S111" s="217"/>
    </row>
    <row r="112">
      <c r="A112" s="217"/>
      <c r="B112" s="217"/>
      <c r="C112" s="228" t="s">
        <v>480</v>
      </c>
      <c r="D112" s="228" t="s">
        <v>270</v>
      </c>
      <c r="E112" s="217"/>
      <c r="F112" s="217"/>
      <c r="G112" s="34"/>
      <c r="H112" s="211" t="s">
        <v>338</v>
      </c>
      <c r="I112" s="212">
        <v>33.0</v>
      </c>
      <c r="J112" s="220" t="s">
        <v>780</v>
      </c>
      <c r="K112" s="214" t="s">
        <v>781</v>
      </c>
      <c r="L112" s="89">
        <v>28.0</v>
      </c>
      <c r="M112" s="34"/>
      <c r="N112" s="34"/>
      <c r="O112" s="34"/>
      <c r="P112" s="34"/>
      <c r="Q112" s="34"/>
      <c r="R112" s="217"/>
      <c r="S112" s="217"/>
    </row>
    <row r="113">
      <c r="A113" s="217"/>
      <c r="B113" s="217"/>
      <c r="C113" s="228" t="s">
        <v>782</v>
      </c>
      <c r="D113" s="228" t="s">
        <v>270</v>
      </c>
      <c r="E113" s="217"/>
      <c r="F113" s="217"/>
      <c r="G113" s="34"/>
      <c r="H113" s="211" t="s">
        <v>783</v>
      </c>
      <c r="I113" s="212">
        <v>135.0</v>
      </c>
      <c r="J113" s="220" t="s">
        <v>784</v>
      </c>
      <c r="K113" s="214" t="s">
        <v>785</v>
      </c>
      <c r="L113" s="89">
        <v>134.0</v>
      </c>
      <c r="M113" s="34"/>
      <c r="N113" s="34"/>
      <c r="O113" s="34"/>
      <c r="P113" s="34"/>
      <c r="Q113" s="34"/>
      <c r="R113" s="217"/>
      <c r="S113" s="217"/>
    </row>
    <row r="114">
      <c r="A114" s="217"/>
      <c r="B114" s="217"/>
      <c r="C114" s="228" t="s">
        <v>786</v>
      </c>
      <c r="D114" s="228" t="s">
        <v>270</v>
      </c>
      <c r="E114" s="217"/>
      <c r="F114" s="217"/>
      <c r="G114" s="34"/>
      <c r="H114" s="211" t="s">
        <v>787</v>
      </c>
      <c r="I114" s="212">
        <v>73.0</v>
      </c>
      <c r="J114" s="220" t="s">
        <v>788</v>
      </c>
      <c r="K114" s="214" t="s">
        <v>789</v>
      </c>
      <c r="L114" s="89">
        <v>135.0</v>
      </c>
      <c r="M114" s="34"/>
      <c r="N114" s="34"/>
      <c r="O114" s="34"/>
      <c r="P114" s="34"/>
      <c r="Q114" s="34"/>
      <c r="R114" s="217"/>
      <c r="S114" s="217"/>
    </row>
    <row r="115">
      <c r="A115" s="217"/>
      <c r="B115" s="217"/>
      <c r="C115" s="228" t="s">
        <v>790</v>
      </c>
      <c r="D115" s="228" t="s">
        <v>791</v>
      </c>
      <c r="E115" s="217"/>
      <c r="F115" s="217"/>
      <c r="G115" s="34"/>
      <c r="H115" s="211" t="s">
        <v>623</v>
      </c>
      <c r="I115" s="212">
        <v>304.0</v>
      </c>
      <c r="J115" s="220" t="s">
        <v>601</v>
      </c>
      <c r="K115" s="214" t="s">
        <v>792</v>
      </c>
      <c r="L115" s="89">
        <v>131.0</v>
      </c>
      <c r="M115" s="34"/>
      <c r="N115" s="34"/>
      <c r="O115" s="34"/>
      <c r="P115" s="34"/>
      <c r="Q115" s="34"/>
      <c r="R115" s="217"/>
      <c r="S115" s="217"/>
    </row>
    <row r="116">
      <c r="A116" s="217"/>
      <c r="B116" s="217"/>
      <c r="C116" s="228" t="s">
        <v>793</v>
      </c>
      <c r="D116" s="228" t="s">
        <v>794</v>
      </c>
      <c r="E116" s="217"/>
      <c r="F116" s="217"/>
      <c r="G116" s="34"/>
      <c r="H116" s="211" t="s">
        <v>795</v>
      </c>
      <c r="I116" s="212">
        <v>136.0</v>
      </c>
      <c r="J116" s="220" t="s">
        <v>796</v>
      </c>
      <c r="K116" s="214" t="s">
        <v>797</v>
      </c>
      <c r="L116" s="89">
        <v>136.0</v>
      </c>
      <c r="M116" s="34"/>
      <c r="N116" s="34"/>
      <c r="O116" s="34"/>
      <c r="P116" s="34"/>
      <c r="Q116" s="34"/>
      <c r="R116" s="217"/>
      <c r="S116" s="217"/>
    </row>
    <row r="117">
      <c r="A117" s="217"/>
      <c r="B117" s="217"/>
      <c r="C117" s="228" t="s">
        <v>798</v>
      </c>
      <c r="D117" s="228" t="s">
        <v>799</v>
      </c>
      <c r="E117" s="217"/>
      <c r="F117" s="217"/>
      <c r="G117" s="34"/>
      <c r="H117" s="211" t="s">
        <v>800</v>
      </c>
      <c r="I117" s="212">
        <v>433.0</v>
      </c>
      <c r="J117" s="220" t="s">
        <v>801</v>
      </c>
      <c r="K117" s="214" t="s">
        <v>802</v>
      </c>
      <c r="L117" s="89">
        <v>137.0</v>
      </c>
      <c r="M117" s="34"/>
      <c r="N117" s="34"/>
      <c r="O117" s="34"/>
      <c r="P117" s="34"/>
      <c r="Q117" s="34"/>
      <c r="R117" s="217"/>
      <c r="S117" s="217"/>
    </row>
    <row r="118">
      <c r="A118" s="217"/>
      <c r="B118" s="217"/>
      <c r="C118" s="228" t="s">
        <v>803</v>
      </c>
      <c r="D118" s="228" t="s">
        <v>804</v>
      </c>
      <c r="E118" s="217"/>
      <c r="F118" s="217"/>
      <c r="G118" s="34"/>
      <c r="H118" s="211" t="s">
        <v>564</v>
      </c>
      <c r="I118" s="212">
        <v>276.0</v>
      </c>
      <c r="J118" s="220" t="s">
        <v>805</v>
      </c>
      <c r="K118" s="214" t="s">
        <v>806</v>
      </c>
      <c r="L118" s="89">
        <v>138.0</v>
      </c>
      <c r="M118" s="34"/>
      <c r="N118" s="34"/>
      <c r="O118" s="34"/>
      <c r="P118" s="34"/>
      <c r="Q118" s="34"/>
      <c r="R118" s="217"/>
      <c r="S118" s="217"/>
    </row>
    <row r="119">
      <c r="A119" s="217"/>
      <c r="B119" s="217"/>
      <c r="C119" s="228" t="s">
        <v>807</v>
      </c>
      <c r="D119" s="228" t="s">
        <v>808</v>
      </c>
      <c r="E119" s="217"/>
      <c r="F119" s="217"/>
      <c r="G119" s="34"/>
      <c r="H119" s="211" t="s">
        <v>809</v>
      </c>
      <c r="I119" s="212">
        <v>109.0</v>
      </c>
      <c r="J119" s="220" t="s">
        <v>810</v>
      </c>
      <c r="K119" s="214" t="s">
        <v>811</v>
      </c>
      <c r="L119" s="89">
        <v>139.0</v>
      </c>
      <c r="M119" s="34"/>
      <c r="N119" s="34"/>
      <c r="O119" s="34"/>
      <c r="P119" s="34"/>
      <c r="Q119" s="34"/>
      <c r="R119" s="217"/>
      <c r="S119" s="217"/>
    </row>
    <row r="120">
      <c r="A120" s="217"/>
      <c r="B120" s="217"/>
      <c r="C120" s="228" t="s">
        <v>812</v>
      </c>
      <c r="D120" s="228" t="s">
        <v>270</v>
      </c>
      <c r="E120" s="217"/>
      <c r="F120" s="217"/>
      <c r="G120" s="34"/>
      <c r="H120" s="211" t="s">
        <v>813</v>
      </c>
      <c r="I120" s="212">
        <v>197.0</v>
      </c>
      <c r="J120" s="220" t="s">
        <v>814</v>
      </c>
      <c r="K120" s="214" t="s">
        <v>815</v>
      </c>
      <c r="L120" s="89">
        <v>140.0</v>
      </c>
      <c r="M120" s="34"/>
      <c r="N120" s="34"/>
      <c r="O120" s="34"/>
      <c r="P120" s="34"/>
      <c r="Q120" s="34"/>
      <c r="R120" s="217"/>
      <c r="S120" s="217"/>
    </row>
    <row r="121">
      <c r="A121" s="217"/>
      <c r="B121" s="217"/>
      <c r="C121" s="228" t="s">
        <v>816</v>
      </c>
      <c r="D121" s="228" t="s">
        <v>817</v>
      </c>
      <c r="E121" s="217"/>
      <c r="F121" s="217"/>
      <c r="G121" s="34"/>
      <c r="H121" s="211" t="s">
        <v>782</v>
      </c>
      <c r="I121" s="212">
        <v>218.0</v>
      </c>
      <c r="J121" s="220" t="s">
        <v>818</v>
      </c>
      <c r="K121" s="214" t="s">
        <v>819</v>
      </c>
      <c r="L121" s="89">
        <v>141.0</v>
      </c>
      <c r="M121" s="34"/>
      <c r="N121" s="34"/>
      <c r="O121" s="34"/>
      <c r="P121" s="34"/>
      <c r="Q121" s="34"/>
      <c r="R121" s="217"/>
      <c r="S121" s="217"/>
    </row>
    <row r="122">
      <c r="A122" s="217"/>
      <c r="B122" s="217"/>
      <c r="C122" s="228" t="s">
        <v>820</v>
      </c>
      <c r="D122" s="228" t="s">
        <v>821</v>
      </c>
      <c r="E122" s="217"/>
      <c r="F122" s="217"/>
      <c r="G122" s="34"/>
      <c r="H122" s="211" t="s">
        <v>822</v>
      </c>
      <c r="I122" s="212">
        <v>244.0</v>
      </c>
      <c r="J122" s="220" t="s">
        <v>823</v>
      </c>
      <c r="K122" s="214" t="s">
        <v>824</v>
      </c>
      <c r="L122" s="89">
        <v>144.0</v>
      </c>
      <c r="M122" s="34"/>
      <c r="N122" s="34"/>
      <c r="O122" s="34"/>
      <c r="P122" s="34"/>
      <c r="Q122" s="34"/>
      <c r="R122" s="217"/>
      <c r="S122" s="217"/>
    </row>
    <row r="123">
      <c r="A123" s="217"/>
      <c r="B123" s="217"/>
      <c r="C123" s="228" t="s">
        <v>825</v>
      </c>
      <c r="D123" s="228" t="s">
        <v>270</v>
      </c>
      <c r="E123" s="217"/>
      <c r="F123" s="217"/>
      <c r="G123" s="34"/>
      <c r="H123" s="211" t="s">
        <v>568</v>
      </c>
      <c r="I123" s="212">
        <v>277.0</v>
      </c>
      <c r="J123" s="220" t="s">
        <v>826</v>
      </c>
      <c r="K123" s="214" t="s">
        <v>827</v>
      </c>
      <c r="L123" s="89">
        <v>143.0</v>
      </c>
      <c r="M123" s="34"/>
      <c r="N123" s="34"/>
      <c r="O123" s="34"/>
      <c r="P123" s="34"/>
      <c r="Q123" s="34"/>
      <c r="R123" s="217"/>
      <c r="S123" s="217"/>
    </row>
    <row r="124">
      <c r="A124" s="217"/>
      <c r="B124" s="217"/>
      <c r="C124" s="228" t="s">
        <v>828</v>
      </c>
      <c r="D124" s="228" t="s">
        <v>829</v>
      </c>
      <c r="E124" s="217"/>
      <c r="F124" s="217"/>
      <c r="G124" s="34"/>
      <c r="H124" s="211" t="s">
        <v>830</v>
      </c>
      <c r="I124" s="212">
        <v>198.0</v>
      </c>
      <c r="J124" s="220" t="s">
        <v>831</v>
      </c>
      <c r="K124" s="214" t="s">
        <v>832</v>
      </c>
      <c r="L124" s="89">
        <v>142.0</v>
      </c>
      <c r="M124" s="34"/>
      <c r="N124" s="34"/>
      <c r="O124" s="34"/>
      <c r="P124" s="34"/>
      <c r="Q124" s="34"/>
      <c r="R124" s="217"/>
      <c r="S124" s="217"/>
    </row>
    <row r="125">
      <c r="A125" s="217"/>
      <c r="B125" s="217"/>
      <c r="C125" s="228" t="s">
        <v>833</v>
      </c>
      <c r="D125" s="228" t="s">
        <v>270</v>
      </c>
      <c r="E125" s="217"/>
      <c r="F125" s="217"/>
      <c r="G125" s="34"/>
      <c r="H125" s="211" t="s">
        <v>344</v>
      </c>
      <c r="I125" s="212">
        <v>34.0</v>
      </c>
      <c r="J125" s="220" t="s">
        <v>834</v>
      </c>
      <c r="K125" s="214" t="s">
        <v>835</v>
      </c>
      <c r="L125" s="89">
        <v>162.0</v>
      </c>
      <c r="M125" s="34"/>
      <c r="N125" s="34"/>
      <c r="O125" s="34"/>
      <c r="P125" s="34"/>
      <c r="Q125" s="34"/>
      <c r="R125" s="217"/>
      <c r="S125" s="217"/>
    </row>
    <row r="126">
      <c r="A126" s="217"/>
      <c r="B126" s="217"/>
      <c r="C126" s="228" t="s">
        <v>620</v>
      </c>
      <c r="D126" s="228" t="s">
        <v>836</v>
      </c>
      <c r="E126" s="217"/>
      <c r="F126" s="217"/>
      <c r="G126" s="34"/>
      <c r="H126" s="211" t="s">
        <v>837</v>
      </c>
      <c r="I126" s="212">
        <v>74.0</v>
      </c>
      <c r="J126" s="220" t="s">
        <v>838</v>
      </c>
      <c r="K126" s="214" t="s">
        <v>839</v>
      </c>
      <c r="L126" s="89">
        <v>29.0</v>
      </c>
      <c r="M126" s="34"/>
      <c r="N126" s="34"/>
      <c r="O126" s="34"/>
      <c r="P126" s="34"/>
      <c r="Q126" s="34"/>
      <c r="R126" s="217"/>
      <c r="S126" s="217"/>
    </row>
    <row r="127">
      <c r="A127" s="217"/>
      <c r="B127" s="217"/>
      <c r="C127" s="228" t="s">
        <v>705</v>
      </c>
      <c r="D127" s="228" t="s">
        <v>270</v>
      </c>
      <c r="E127" s="217"/>
      <c r="F127" s="217"/>
      <c r="G127" s="34"/>
      <c r="H127" s="211" t="s">
        <v>840</v>
      </c>
      <c r="I127" s="212">
        <v>137.0</v>
      </c>
      <c r="J127" s="220" t="s">
        <v>841</v>
      </c>
      <c r="K127" s="214" t="s">
        <v>842</v>
      </c>
      <c r="L127" s="89">
        <v>145.0</v>
      </c>
      <c r="M127" s="34"/>
      <c r="N127" s="34"/>
      <c r="O127" s="34"/>
      <c r="P127" s="34"/>
      <c r="Q127" s="34"/>
      <c r="R127" s="217"/>
      <c r="S127" s="217"/>
    </row>
    <row r="128">
      <c r="A128" s="217"/>
      <c r="B128" s="217"/>
      <c r="C128" s="228" t="s">
        <v>710</v>
      </c>
      <c r="D128" s="228" t="s">
        <v>270</v>
      </c>
      <c r="E128" s="217"/>
      <c r="F128" s="217"/>
      <c r="G128" s="34"/>
      <c r="H128" s="211" t="s">
        <v>843</v>
      </c>
      <c r="I128" s="212">
        <v>413.0</v>
      </c>
      <c r="J128" s="220" t="s">
        <v>844</v>
      </c>
      <c r="K128" s="214" t="s">
        <v>845</v>
      </c>
      <c r="L128" s="89">
        <v>146.0</v>
      </c>
      <c r="M128" s="34"/>
      <c r="N128" s="34"/>
      <c r="O128" s="34"/>
      <c r="P128" s="34"/>
      <c r="Q128" s="34"/>
      <c r="R128" s="217"/>
      <c r="S128" s="217"/>
    </row>
    <row r="129">
      <c r="A129" s="217"/>
      <c r="B129" s="217"/>
      <c r="C129" s="228" t="s">
        <v>714</v>
      </c>
      <c r="D129" s="228" t="s">
        <v>270</v>
      </c>
      <c r="E129" s="217"/>
      <c r="F129" s="217"/>
      <c r="G129" s="34"/>
      <c r="H129" s="211" t="s">
        <v>846</v>
      </c>
      <c r="I129" s="212">
        <v>199.0</v>
      </c>
      <c r="J129" s="220" t="s">
        <v>847</v>
      </c>
      <c r="K129" s="214" t="s">
        <v>848</v>
      </c>
      <c r="L129" s="89">
        <v>149.0</v>
      </c>
      <c r="M129" s="34"/>
      <c r="N129" s="34"/>
      <c r="O129" s="34"/>
      <c r="P129" s="34"/>
      <c r="Q129" s="34"/>
      <c r="R129" s="217"/>
      <c r="S129" s="217"/>
    </row>
    <row r="130">
      <c r="A130" s="217"/>
      <c r="B130" s="217"/>
      <c r="C130" s="228" t="s">
        <v>718</v>
      </c>
      <c r="D130" s="228" t="s">
        <v>270</v>
      </c>
      <c r="E130" s="217"/>
      <c r="F130" s="217"/>
      <c r="G130" s="34"/>
      <c r="H130" s="211" t="s">
        <v>349</v>
      </c>
      <c r="I130" s="212">
        <v>333.0</v>
      </c>
      <c r="J130" s="220" t="s">
        <v>849</v>
      </c>
      <c r="K130" s="214" t="s">
        <v>850</v>
      </c>
      <c r="L130" s="89">
        <v>150.0</v>
      </c>
      <c r="M130" s="34"/>
      <c r="N130" s="34"/>
      <c r="O130" s="34"/>
      <c r="P130" s="34"/>
      <c r="Q130" s="34"/>
      <c r="R130" s="217"/>
      <c r="S130" s="217"/>
    </row>
    <row r="131">
      <c r="A131" s="217"/>
      <c r="B131" s="217"/>
      <c r="C131" s="228" t="s">
        <v>726</v>
      </c>
      <c r="D131" s="228" t="s">
        <v>270</v>
      </c>
      <c r="E131" s="217"/>
      <c r="F131" s="217"/>
      <c r="G131" s="34"/>
      <c r="H131" s="211" t="s">
        <v>851</v>
      </c>
      <c r="I131" s="212">
        <v>592.0</v>
      </c>
      <c r="J131" s="220" t="s">
        <v>852</v>
      </c>
      <c r="K131" s="214" t="s">
        <v>853</v>
      </c>
      <c r="L131" s="89">
        <v>153.0</v>
      </c>
      <c r="M131" s="34"/>
      <c r="N131" s="34"/>
      <c r="O131" s="34"/>
      <c r="P131" s="34"/>
      <c r="Q131" s="34"/>
      <c r="R131" s="217"/>
      <c r="S131" s="217"/>
    </row>
    <row r="132">
      <c r="A132" s="217"/>
      <c r="B132" s="217"/>
      <c r="C132" s="228" t="s">
        <v>730</v>
      </c>
      <c r="D132" s="228" t="s">
        <v>270</v>
      </c>
      <c r="E132" s="217"/>
      <c r="F132" s="217"/>
      <c r="G132" s="34"/>
      <c r="H132" s="211" t="s">
        <v>854</v>
      </c>
      <c r="I132" s="212">
        <v>565.0</v>
      </c>
      <c r="J132" s="220" t="s">
        <v>855</v>
      </c>
      <c r="K132" s="214" t="s">
        <v>856</v>
      </c>
      <c r="L132" s="89">
        <v>62.0</v>
      </c>
      <c r="M132" s="34"/>
      <c r="N132" s="34"/>
      <c r="O132" s="34"/>
      <c r="P132" s="34"/>
      <c r="Q132" s="34"/>
      <c r="R132" s="217"/>
      <c r="S132" s="217"/>
    </row>
    <row r="133">
      <c r="A133" s="217"/>
      <c r="B133" s="217"/>
      <c r="C133" s="228" t="s">
        <v>734</v>
      </c>
      <c r="D133" s="228" t="s">
        <v>270</v>
      </c>
      <c r="E133" s="217"/>
      <c r="F133" s="217"/>
      <c r="G133" s="34"/>
      <c r="H133" s="211" t="s">
        <v>355</v>
      </c>
      <c r="I133" s="212">
        <v>16.0</v>
      </c>
      <c r="J133" s="220" t="s">
        <v>857</v>
      </c>
      <c r="K133" s="214" t="s">
        <v>856</v>
      </c>
      <c r="L133" s="89">
        <v>152.0</v>
      </c>
      <c r="M133" s="34"/>
      <c r="N133" s="34"/>
      <c r="O133" s="34"/>
      <c r="P133" s="34"/>
      <c r="Q133" s="34"/>
      <c r="R133" s="217"/>
      <c r="S133" s="217"/>
    </row>
    <row r="134">
      <c r="A134" s="217"/>
      <c r="B134" s="217"/>
      <c r="C134" s="228" t="s">
        <v>738</v>
      </c>
      <c r="D134" s="228" t="s">
        <v>270</v>
      </c>
      <c r="E134" s="217"/>
      <c r="F134" s="217"/>
      <c r="G134" s="34"/>
      <c r="H134" s="211" t="s">
        <v>627</v>
      </c>
      <c r="I134" s="212">
        <v>305.0</v>
      </c>
      <c r="J134" s="220" t="s">
        <v>858</v>
      </c>
      <c r="K134" s="214" t="s">
        <v>859</v>
      </c>
      <c r="L134" s="89">
        <v>154.0</v>
      </c>
      <c r="M134" s="34"/>
      <c r="N134" s="34"/>
      <c r="O134" s="34"/>
      <c r="P134" s="34"/>
      <c r="Q134" s="34"/>
      <c r="R134" s="217"/>
      <c r="S134" s="217"/>
    </row>
    <row r="135">
      <c r="A135" s="217"/>
      <c r="B135" s="217"/>
      <c r="C135" s="228" t="s">
        <v>743</v>
      </c>
      <c r="D135" s="228" t="s">
        <v>270</v>
      </c>
      <c r="E135" s="217"/>
      <c r="F135" s="217"/>
      <c r="G135" s="34"/>
      <c r="H135" s="211" t="s">
        <v>417</v>
      </c>
      <c r="I135" s="212">
        <v>260.0</v>
      </c>
      <c r="J135" s="220" t="s">
        <v>860</v>
      </c>
      <c r="K135" s="214" t="s">
        <v>861</v>
      </c>
      <c r="L135" s="89">
        <v>155.0</v>
      </c>
      <c r="M135" s="34"/>
      <c r="N135" s="34"/>
      <c r="O135" s="34"/>
      <c r="P135" s="34"/>
      <c r="Q135" s="34"/>
      <c r="R135" s="217"/>
      <c r="S135" s="217"/>
    </row>
    <row r="136">
      <c r="A136" s="217"/>
      <c r="B136" s="217"/>
      <c r="C136" s="228" t="s">
        <v>746</v>
      </c>
      <c r="D136" s="228" t="s">
        <v>270</v>
      </c>
      <c r="E136" s="217"/>
      <c r="F136" s="217"/>
      <c r="G136" s="34"/>
      <c r="H136" s="211" t="s">
        <v>862</v>
      </c>
      <c r="I136" s="212">
        <v>75.0</v>
      </c>
      <c r="J136" s="220" t="s">
        <v>863</v>
      </c>
      <c r="K136" s="214" t="s">
        <v>864</v>
      </c>
      <c r="L136" s="89">
        <v>156.0</v>
      </c>
      <c r="M136" s="34"/>
      <c r="N136" s="34"/>
      <c r="O136" s="34"/>
      <c r="P136" s="34"/>
      <c r="Q136" s="34"/>
      <c r="R136" s="217"/>
      <c r="S136" s="217"/>
    </row>
    <row r="137">
      <c r="A137" s="217"/>
      <c r="B137" s="217"/>
      <c r="C137" s="228" t="s">
        <v>865</v>
      </c>
      <c r="D137" s="228" t="s">
        <v>270</v>
      </c>
      <c r="E137" s="217"/>
      <c r="F137" s="217"/>
      <c r="G137" s="34"/>
      <c r="H137" s="211" t="s">
        <v>866</v>
      </c>
      <c r="I137" s="212">
        <v>185.0</v>
      </c>
      <c r="J137" s="220" t="s">
        <v>867</v>
      </c>
      <c r="K137" s="214" t="s">
        <v>868</v>
      </c>
      <c r="L137" s="89">
        <v>57.0</v>
      </c>
      <c r="M137" s="34"/>
      <c r="N137" s="34"/>
      <c r="O137" s="34"/>
      <c r="P137" s="34"/>
      <c r="Q137" s="34"/>
      <c r="R137" s="217"/>
      <c r="S137" s="217"/>
    </row>
    <row r="138">
      <c r="A138" s="217"/>
      <c r="B138" s="217"/>
      <c r="C138" s="228" t="s">
        <v>869</v>
      </c>
      <c r="D138" s="228" t="s">
        <v>270</v>
      </c>
      <c r="E138" s="217"/>
      <c r="F138" s="217"/>
      <c r="G138" s="34"/>
      <c r="H138" s="211" t="s">
        <v>630</v>
      </c>
      <c r="I138" s="212">
        <v>306.0</v>
      </c>
      <c r="J138" s="220" t="s">
        <v>870</v>
      </c>
      <c r="K138" s="214" t="s">
        <v>871</v>
      </c>
      <c r="L138" s="89">
        <v>30.0</v>
      </c>
      <c r="M138" s="34"/>
      <c r="N138" s="34"/>
      <c r="O138" s="34"/>
      <c r="P138" s="34"/>
      <c r="Q138" s="34"/>
      <c r="R138" s="217"/>
      <c r="S138" s="217"/>
    </row>
    <row r="139">
      <c r="A139" s="217"/>
      <c r="B139" s="217"/>
      <c r="C139" s="228" t="s">
        <v>872</v>
      </c>
      <c r="D139" s="228" t="s">
        <v>270</v>
      </c>
      <c r="E139" s="217"/>
      <c r="F139" s="217"/>
      <c r="G139" s="34"/>
      <c r="H139" s="211" t="s">
        <v>873</v>
      </c>
      <c r="I139" s="212">
        <v>160.0</v>
      </c>
      <c r="J139" s="220" t="s">
        <v>874</v>
      </c>
      <c r="K139" s="214" t="s">
        <v>88</v>
      </c>
      <c r="L139" s="89">
        <v>31.0</v>
      </c>
      <c r="M139" s="34"/>
      <c r="N139" s="34"/>
      <c r="O139" s="34"/>
      <c r="P139" s="34"/>
      <c r="Q139" s="34"/>
      <c r="R139" s="217"/>
      <c r="S139" s="217"/>
    </row>
    <row r="140">
      <c r="A140" s="217"/>
      <c r="B140" s="217"/>
      <c r="C140" s="228" t="s">
        <v>414</v>
      </c>
      <c r="D140" s="228" t="s">
        <v>270</v>
      </c>
      <c r="E140" s="217"/>
      <c r="F140" s="217"/>
      <c r="G140" s="34"/>
      <c r="H140" s="211" t="s">
        <v>875</v>
      </c>
      <c r="I140" s="212">
        <v>245.0</v>
      </c>
      <c r="J140" s="220" t="s">
        <v>876</v>
      </c>
      <c r="K140" s="214" t="s">
        <v>877</v>
      </c>
      <c r="L140" s="89">
        <v>58.0</v>
      </c>
      <c r="M140" s="34"/>
      <c r="N140" s="34"/>
      <c r="O140" s="34"/>
      <c r="P140" s="34"/>
      <c r="Q140" s="34"/>
      <c r="R140" s="217"/>
      <c r="S140" s="217"/>
    </row>
    <row r="141">
      <c r="A141" s="217"/>
      <c r="B141" s="217"/>
      <c r="C141" s="228" t="s">
        <v>878</v>
      </c>
      <c r="D141" s="228" t="s">
        <v>270</v>
      </c>
      <c r="E141" s="217"/>
      <c r="F141" s="217"/>
      <c r="G141" s="34"/>
      <c r="H141" s="211" t="s">
        <v>361</v>
      </c>
      <c r="I141" s="212">
        <v>54.0</v>
      </c>
      <c r="J141" s="220" t="s">
        <v>879</v>
      </c>
      <c r="K141" s="214" t="s">
        <v>880</v>
      </c>
      <c r="L141" s="89">
        <v>157.0</v>
      </c>
      <c r="M141" s="34"/>
      <c r="N141" s="34"/>
      <c r="O141" s="34"/>
      <c r="P141" s="34"/>
      <c r="Q141" s="34"/>
      <c r="R141" s="217"/>
      <c r="S141" s="217"/>
    </row>
    <row r="142">
      <c r="A142" s="217"/>
      <c r="B142" s="217"/>
      <c r="C142" s="228" t="s">
        <v>881</v>
      </c>
      <c r="D142" s="228" t="s">
        <v>270</v>
      </c>
      <c r="E142" s="217"/>
      <c r="F142" s="217"/>
      <c r="G142" s="34"/>
      <c r="H142" s="211" t="s">
        <v>882</v>
      </c>
      <c r="I142" s="212">
        <v>200.0</v>
      </c>
      <c r="J142" s="220" t="s">
        <v>883</v>
      </c>
      <c r="K142" s="214" t="s">
        <v>884</v>
      </c>
      <c r="L142" s="89">
        <v>198.0</v>
      </c>
      <c r="M142" s="34"/>
      <c r="N142" s="34"/>
      <c r="O142" s="34"/>
      <c r="P142" s="34"/>
      <c r="Q142" s="34"/>
      <c r="R142" s="217"/>
      <c r="S142" s="217"/>
    </row>
    <row r="143">
      <c r="A143" s="217"/>
      <c r="B143" s="217"/>
      <c r="C143" s="228" t="s">
        <v>885</v>
      </c>
      <c r="D143" s="228" t="s">
        <v>270</v>
      </c>
      <c r="E143" s="217"/>
      <c r="F143" s="217"/>
      <c r="G143" s="34"/>
      <c r="H143" s="211" t="s">
        <v>886</v>
      </c>
      <c r="I143" s="212">
        <v>246.0</v>
      </c>
      <c r="J143" s="220" t="s">
        <v>887</v>
      </c>
      <c r="K143" s="214" t="s">
        <v>884</v>
      </c>
      <c r="L143" s="89">
        <v>202.0</v>
      </c>
      <c r="M143" s="34"/>
      <c r="N143" s="34"/>
      <c r="O143" s="34"/>
      <c r="P143" s="34"/>
      <c r="Q143" s="34"/>
      <c r="R143" s="217"/>
      <c r="S143" s="217"/>
    </row>
    <row r="144">
      <c r="A144" s="217"/>
      <c r="B144" s="217"/>
      <c r="C144" s="228" t="s">
        <v>456</v>
      </c>
      <c r="D144" s="228" t="s">
        <v>888</v>
      </c>
      <c r="E144" s="217"/>
      <c r="F144" s="217"/>
      <c r="G144" s="34"/>
      <c r="H144" s="211" t="s">
        <v>517</v>
      </c>
      <c r="I144" s="212">
        <v>155.0</v>
      </c>
      <c r="J144" s="220" t="s">
        <v>889</v>
      </c>
      <c r="K144" s="214" t="s">
        <v>890</v>
      </c>
      <c r="L144" s="89">
        <v>32.0</v>
      </c>
      <c r="M144" s="34"/>
      <c r="N144" s="34"/>
      <c r="O144" s="34"/>
      <c r="P144" s="34"/>
      <c r="Q144" s="34"/>
      <c r="R144" s="217"/>
      <c r="S144" s="217"/>
    </row>
    <row r="145">
      <c r="A145" s="217"/>
      <c r="B145" s="217"/>
      <c r="C145" s="228" t="s">
        <v>498</v>
      </c>
      <c r="D145" s="228" t="s">
        <v>270</v>
      </c>
      <c r="E145" s="217"/>
      <c r="F145" s="217"/>
      <c r="G145" s="34"/>
      <c r="H145" s="211" t="s">
        <v>545</v>
      </c>
      <c r="I145" s="212">
        <v>252.0</v>
      </c>
      <c r="J145" s="220" t="s">
        <v>891</v>
      </c>
      <c r="K145" s="214" t="s">
        <v>892</v>
      </c>
      <c r="L145" s="89">
        <v>158.0</v>
      </c>
      <c r="M145" s="34"/>
      <c r="N145" s="34"/>
      <c r="O145" s="34"/>
      <c r="P145" s="34"/>
      <c r="Q145" s="34"/>
      <c r="R145" s="217"/>
      <c r="S145" s="217"/>
    </row>
    <row r="146">
      <c r="A146" s="217"/>
      <c r="B146" s="217"/>
      <c r="C146" s="228" t="s">
        <v>498</v>
      </c>
      <c r="D146" s="228" t="s">
        <v>270</v>
      </c>
      <c r="E146" s="217"/>
      <c r="F146" s="217"/>
      <c r="G146" s="34"/>
      <c r="H146" s="211" t="s">
        <v>524</v>
      </c>
      <c r="I146" s="212">
        <v>534.0</v>
      </c>
      <c r="J146" s="220" t="s">
        <v>893</v>
      </c>
      <c r="K146" s="214" t="s">
        <v>894</v>
      </c>
      <c r="L146" s="89">
        <v>159.0</v>
      </c>
      <c r="M146" s="34"/>
      <c r="N146" s="34"/>
      <c r="O146" s="34"/>
      <c r="P146" s="34"/>
      <c r="Q146" s="34"/>
      <c r="R146" s="217"/>
      <c r="S146" s="217"/>
    </row>
    <row r="147">
      <c r="A147" s="217"/>
      <c r="B147" s="217"/>
      <c r="C147" s="228" t="s">
        <v>519</v>
      </c>
      <c r="D147" s="228" t="s">
        <v>270</v>
      </c>
      <c r="E147" s="217"/>
      <c r="F147" s="217"/>
      <c r="G147" s="34"/>
      <c r="H147" s="211" t="s">
        <v>895</v>
      </c>
      <c r="I147" s="212">
        <v>426.0</v>
      </c>
      <c r="J147" s="220" t="s">
        <v>896</v>
      </c>
      <c r="K147" s="214" t="s">
        <v>703</v>
      </c>
      <c r="L147" s="89">
        <v>34.0</v>
      </c>
      <c r="M147" s="34"/>
      <c r="N147" s="34"/>
      <c r="O147" s="34"/>
      <c r="P147" s="34"/>
      <c r="Q147" s="34"/>
      <c r="R147" s="217"/>
      <c r="S147" s="217"/>
    </row>
    <row r="148">
      <c r="A148" s="217"/>
      <c r="B148" s="217"/>
      <c r="C148" s="228" t="s">
        <v>813</v>
      </c>
      <c r="D148" s="228" t="s">
        <v>270</v>
      </c>
      <c r="E148" s="217"/>
      <c r="F148" s="217"/>
      <c r="G148" s="34"/>
      <c r="H148" s="211" t="s">
        <v>897</v>
      </c>
      <c r="I148" s="212">
        <v>120.0</v>
      </c>
      <c r="J148" s="220" t="s">
        <v>898</v>
      </c>
      <c r="K148" s="214" t="s">
        <v>899</v>
      </c>
      <c r="L148" s="89">
        <v>163.0</v>
      </c>
      <c r="M148" s="34"/>
      <c r="N148" s="34"/>
      <c r="O148" s="34"/>
      <c r="P148" s="34"/>
      <c r="Q148" s="34"/>
      <c r="R148" s="217"/>
      <c r="S148" s="217"/>
    </row>
    <row r="149">
      <c r="A149" s="217"/>
      <c r="B149" s="217"/>
      <c r="C149" s="228" t="s">
        <v>830</v>
      </c>
      <c r="D149" s="228" t="s">
        <v>900</v>
      </c>
      <c r="E149" s="217"/>
      <c r="F149" s="217"/>
      <c r="G149" s="34"/>
      <c r="H149" s="211" t="s">
        <v>901</v>
      </c>
      <c r="I149" s="212">
        <v>161.0</v>
      </c>
      <c r="J149" s="220" t="s">
        <v>902</v>
      </c>
      <c r="K149" s="214" t="s">
        <v>903</v>
      </c>
      <c r="L149" s="89">
        <v>164.0</v>
      </c>
      <c r="M149" s="34"/>
      <c r="N149" s="34"/>
      <c r="O149" s="34"/>
      <c r="P149" s="34"/>
      <c r="Q149" s="34"/>
      <c r="R149" s="217"/>
      <c r="S149" s="217"/>
    </row>
    <row r="150">
      <c r="A150" s="217"/>
      <c r="B150" s="217"/>
      <c r="C150" s="228" t="s">
        <v>846</v>
      </c>
      <c r="D150" s="228" t="s">
        <v>904</v>
      </c>
      <c r="E150" s="217"/>
      <c r="F150" s="217"/>
      <c r="G150" s="34"/>
      <c r="H150" s="211" t="s">
        <v>865</v>
      </c>
      <c r="I150" s="212">
        <v>181.0</v>
      </c>
      <c r="J150" s="220" t="s">
        <v>905</v>
      </c>
      <c r="K150" s="214" t="s">
        <v>906</v>
      </c>
      <c r="L150" s="89">
        <v>59.0</v>
      </c>
      <c r="M150" s="34"/>
      <c r="N150" s="34"/>
      <c r="O150" s="34"/>
      <c r="P150" s="34"/>
      <c r="Q150" s="34"/>
      <c r="R150" s="217"/>
      <c r="S150" s="217"/>
    </row>
    <row r="151">
      <c r="A151" s="217"/>
      <c r="B151" s="217"/>
      <c r="C151" s="228" t="s">
        <v>882</v>
      </c>
      <c r="D151" s="228" t="s">
        <v>270</v>
      </c>
      <c r="E151" s="217"/>
      <c r="F151" s="217"/>
      <c r="G151" s="34"/>
      <c r="H151" s="211" t="s">
        <v>366</v>
      </c>
      <c r="I151" s="212">
        <v>55.0</v>
      </c>
      <c r="J151" s="220" t="s">
        <v>907</v>
      </c>
      <c r="K151" s="214" t="s">
        <v>908</v>
      </c>
      <c r="L151" s="89">
        <v>160.0</v>
      </c>
      <c r="M151" s="34"/>
      <c r="N151" s="34"/>
      <c r="O151" s="34"/>
      <c r="P151" s="34"/>
      <c r="Q151" s="34"/>
      <c r="R151" s="217"/>
      <c r="S151" s="217"/>
    </row>
    <row r="152">
      <c r="A152" s="217"/>
      <c r="B152" s="217"/>
      <c r="C152" s="228" t="s">
        <v>909</v>
      </c>
      <c r="D152" s="228" t="s">
        <v>910</v>
      </c>
      <c r="E152" s="217"/>
      <c r="F152" s="217"/>
      <c r="G152" s="34"/>
      <c r="H152" s="211" t="s">
        <v>911</v>
      </c>
      <c r="I152" s="212">
        <v>573.0</v>
      </c>
      <c r="J152" s="220" t="s">
        <v>912</v>
      </c>
      <c r="K152" s="214" t="s">
        <v>913</v>
      </c>
      <c r="L152" s="89">
        <v>165.0</v>
      </c>
      <c r="M152" s="34"/>
      <c r="N152" s="34"/>
      <c r="O152" s="34"/>
      <c r="P152" s="34"/>
      <c r="Q152" s="34"/>
      <c r="R152" s="217"/>
      <c r="S152" s="217"/>
    </row>
    <row r="153">
      <c r="A153" s="217"/>
      <c r="B153" s="217"/>
      <c r="C153" s="228" t="s">
        <v>914</v>
      </c>
      <c r="D153" s="228" t="s">
        <v>270</v>
      </c>
      <c r="E153" s="217"/>
      <c r="F153" s="217"/>
      <c r="G153" s="34"/>
      <c r="H153" s="211" t="s">
        <v>915</v>
      </c>
      <c r="I153" s="212">
        <v>580.0</v>
      </c>
      <c r="J153" s="220" t="s">
        <v>916</v>
      </c>
      <c r="K153" s="214" t="s">
        <v>917</v>
      </c>
      <c r="L153" s="89">
        <v>167.0</v>
      </c>
      <c r="M153" s="34"/>
      <c r="N153" s="34"/>
      <c r="O153" s="34"/>
      <c r="P153" s="34"/>
      <c r="Q153" s="34"/>
      <c r="R153" s="217"/>
      <c r="S153" s="217"/>
    </row>
    <row r="154">
      <c r="A154" s="217"/>
      <c r="B154" s="217"/>
      <c r="C154" s="228" t="s">
        <v>786</v>
      </c>
      <c r="D154" s="228" t="s">
        <v>270</v>
      </c>
      <c r="E154" s="217"/>
      <c r="F154" s="217"/>
      <c r="G154" s="34"/>
      <c r="H154" s="211" t="s">
        <v>918</v>
      </c>
      <c r="I154" s="212">
        <v>589.0</v>
      </c>
      <c r="J154" s="220" t="s">
        <v>919</v>
      </c>
      <c r="K154" s="214" t="s">
        <v>920</v>
      </c>
      <c r="L154" s="89">
        <v>147.0</v>
      </c>
      <c r="M154" s="34"/>
      <c r="N154" s="34"/>
      <c r="O154" s="34"/>
      <c r="P154" s="34"/>
      <c r="Q154" s="34"/>
      <c r="R154" s="217"/>
      <c r="S154" s="217"/>
    </row>
    <row r="155">
      <c r="A155" s="217"/>
      <c r="B155" s="217"/>
      <c r="C155" s="228" t="s">
        <v>921</v>
      </c>
      <c r="D155" s="228" t="s">
        <v>922</v>
      </c>
      <c r="E155" s="217"/>
      <c r="F155" s="217"/>
      <c r="G155" s="34"/>
      <c r="H155" s="211" t="s">
        <v>923</v>
      </c>
      <c r="I155" s="212">
        <v>76.0</v>
      </c>
      <c r="J155" s="220" t="s">
        <v>924</v>
      </c>
      <c r="K155" s="214" t="s">
        <v>925</v>
      </c>
      <c r="L155" s="89">
        <v>161.0</v>
      </c>
      <c r="M155" s="34"/>
      <c r="N155" s="34"/>
      <c r="O155" s="34"/>
      <c r="P155" s="34"/>
      <c r="Q155" s="34"/>
      <c r="R155" s="217"/>
      <c r="S155" s="217"/>
    </row>
    <row r="156">
      <c r="A156" s="217"/>
      <c r="B156" s="217"/>
      <c r="C156" s="228" t="s">
        <v>926</v>
      </c>
      <c r="D156" s="228" t="s">
        <v>270</v>
      </c>
      <c r="E156" s="217"/>
      <c r="F156" s="217"/>
      <c r="G156" s="34"/>
      <c r="H156" s="211" t="s">
        <v>927</v>
      </c>
      <c r="I156" s="212">
        <v>568.0</v>
      </c>
      <c r="J156" s="220" t="s">
        <v>928</v>
      </c>
      <c r="K156" s="214" t="s">
        <v>929</v>
      </c>
      <c r="L156" s="89">
        <v>168.0</v>
      </c>
      <c r="M156" s="34"/>
      <c r="N156" s="34"/>
      <c r="O156" s="34"/>
      <c r="P156" s="34"/>
      <c r="Q156" s="34"/>
      <c r="R156" s="217"/>
      <c r="S156" s="217"/>
    </row>
    <row r="157">
      <c r="A157" s="217"/>
      <c r="B157" s="217"/>
      <c r="C157" s="228" t="s">
        <v>930</v>
      </c>
      <c r="D157" s="228" t="s">
        <v>270</v>
      </c>
      <c r="E157" s="217"/>
      <c r="F157" s="217"/>
      <c r="G157" s="34"/>
      <c r="H157" s="211" t="s">
        <v>370</v>
      </c>
      <c r="I157" s="212">
        <v>12.0</v>
      </c>
      <c r="J157" s="220" t="s">
        <v>931</v>
      </c>
      <c r="K157" s="214" t="s">
        <v>932</v>
      </c>
      <c r="L157" s="89">
        <v>35.0</v>
      </c>
      <c r="M157" s="34"/>
      <c r="N157" s="34"/>
      <c r="O157" s="34"/>
      <c r="P157" s="34"/>
      <c r="Q157" s="34"/>
      <c r="R157" s="217"/>
      <c r="S157" s="217"/>
    </row>
    <row r="158">
      <c r="A158" s="217"/>
      <c r="B158" s="217"/>
      <c r="C158" s="228" t="s">
        <v>933</v>
      </c>
      <c r="D158" s="228" t="s">
        <v>934</v>
      </c>
      <c r="E158" s="217"/>
      <c r="F158" s="217"/>
      <c r="G158" s="34"/>
      <c r="H158" s="211" t="s">
        <v>370</v>
      </c>
      <c r="I158" s="212">
        <v>434.0</v>
      </c>
      <c r="J158" s="220" t="s">
        <v>935</v>
      </c>
      <c r="K158" s="214" t="s">
        <v>936</v>
      </c>
      <c r="L158" s="89">
        <v>36.0</v>
      </c>
      <c r="M158" s="34"/>
      <c r="N158" s="34"/>
      <c r="O158" s="34"/>
      <c r="P158" s="34"/>
      <c r="Q158" s="34"/>
      <c r="R158" s="217"/>
      <c r="S158" s="217"/>
    </row>
    <row r="159">
      <c r="A159" s="217"/>
      <c r="B159" s="217"/>
      <c r="C159" s="228" t="s">
        <v>937</v>
      </c>
      <c r="D159" s="228" t="s">
        <v>270</v>
      </c>
      <c r="E159" s="217"/>
      <c r="F159" s="217"/>
      <c r="G159" s="34"/>
      <c r="H159" s="211" t="s">
        <v>529</v>
      </c>
      <c r="I159" s="212">
        <v>156.0</v>
      </c>
      <c r="J159" s="220" t="s">
        <v>355</v>
      </c>
      <c r="K159" s="214" t="s">
        <v>938</v>
      </c>
      <c r="L159" s="89">
        <v>169.0</v>
      </c>
      <c r="M159" s="34"/>
      <c r="N159" s="34"/>
      <c r="O159" s="34"/>
      <c r="P159" s="34"/>
      <c r="Q159" s="34"/>
      <c r="R159" s="217"/>
      <c r="S159" s="217"/>
    </row>
    <row r="160">
      <c r="A160" s="217"/>
      <c r="B160" s="217"/>
      <c r="C160" s="228" t="s">
        <v>939</v>
      </c>
      <c r="D160" s="228" t="s">
        <v>270</v>
      </c>
      <c r="E160" s="217"/>
      <c r="F160" s="217"/>
      <c r="G160" s="34"/>
      <c r="H160" s="211" t="s">
        <v>633</v>
      </c>
      <c r="I160" s="212">
        <v>307.0</v>
      </c>
      <c r="J160" s="220" t="s">
        <v>940</v>
      </c>
      <c r="K160" s="214" t="s">
        <v>941</v>
      </c>
      <c r="L160" s="89">
        <v>148.0</v>
      </c>
      <c r="M160" s="34"/>
      <c r="N160" s="34"/>
      <c r="O160" s="34"/>
      <c r="P160" s="34"/>
      <c r="Q160" s="34"/>
      <c r="R160" s="217"/>
      <c r="S160" s="217"/>
    </row>
    <row r="161">
      <c r="A161" s="217"/>
      <c r="B161" s="217"/>
      <c r="C161" s="228" t="s">
        <v>942</v>
      </c>
      <c r="D161" s="228" t="s">
        <v>270</v>
      </c>
      <c r="E161" s="217"/>
      <c r="F161" s="217"/>
      <c r="G161" s="34"/>
      <c r="H161" s="211" t="s">
        <v>637</v>
      </c>
      <c r="I161" s="212">
        <v>308.0</v>
      </c>
      <c r="J161" s="220" t="s">
        <v>943</v>
      </c>
      <c r="K161" s="214" t="s">
        <v>944</v>
      </c>
      <c r="L161" s="89">
        <v>170.0</v>
      </c>
      <c r="M161" s="34"/>
      <c r="N161" s="34"/>
      <c r="O161" s="34"/>
      <c r="P161" s="34"/>
      <c r="Q161" s="34"/>
      <c r="R161" s="217"/>
      <c r="S161" s="217"/>
    </row>
    <row r="162">
      <c r="A162" s="217"/>
      <c r="B162" s="217"/>
      <c r="C162" s="228" t="s">
        <v>822</v>
      </c>
      <c r="D162" s="228" t="s">
        <v>945</v>
      </c>
      <c r="E162" s="217"/>
      <c r="F162" s="217"/>
      <c r="G162" s="34"/>
      <c r="H162" s="211" t="s">
        <v>642</v>
      </c>
      <c r="I162" s="212">
        <v>309.0</v>
      </c>
      <c r="J162" s="220" t="s">
        <v>946</v>
      </c>
      <c r="K162" s="214" t="s">
        <v>947</v>
      </c>
      <c r="L162" s="89">
        <v>37.0</v>
      </c>
      <c r="M162" s="34"/>
      <c r="N162" s="34"/>
      <c r="O162" s="34"/>
      <c r="P162" s="34"/>
      <c r="Q162" s="34"/>
      <c r="R162" s="217"/>
      <c r="S162" s="217"/>
    </row>
    <row r="163">
      <c r="A163" s="217"/>
      <c r="B163" s="217"/>
      <c r="C163" s="228" t="s">
        <v>875</v>
      </c>
      <c r="D163" s="228" t="s">
        <v>948</v>
      </c>
      <c r="E163" s="217"/>
      <c r="F163" s="217"/>
      <c r="G163" s="34"/>
      <c r="H163" s="211" t="s">
        <v>949</v>
      </c>
      <c r="I163" s="212">
        <v>548.0</v>
      </c>
      <c r="J163" s="220" t="s">
        <v>950</v>
      </c>
      <c r="K163" s="214" t="s">
        <v>951</v>
      </c>
      <c r="L163" s="89">
        <v>60.0</v>
      </c>
      <c r="M163" s="34"/>
      <c r="N163" s="34"/>
      <c r="O163" s="34"/>
      <c r="P163" s="34"/>
      <c r="Q163" s="34"/>
      <c r="R163" s="217"/>
      <c r="S163" s="217"/>
    </row>
    <row r="164">
      <c r="A164" s="217"/>
      <c r="B164" s="217"/>
      <c r="C164" s="228" t="s">
        <v>886</v>
      </c>
      <c r="D164" s="228" t="s">
        <v>952</v>
      </c>
      <c r="E164" s="217"/>
      <c r="F164" s="217"/>
      <c r="G164" s="34"/>
      <c r="H164" s="211" t="s">
        <v>647</v>
      </c>
      <c r="I164" s="212">
        <v>310.0</v>
      </c>
      <c r="J164" s="220" t="s">
        <v>953</v>
      </c>
      <c r="K164" s="214" t="s">
        <v>954</v>
      </c>
      <c r="L164" s="89">
        <v>171.0</v>
      </c>
      <c r="M164" s="34"/>
      <c r="N164" s="34"/>
      <c r="O164" s="34"/>
      <c r="P164" s="34"/>
      <c r="Q164" s="34"/>
      <c r="R164" s="217"/>
      <c r="S164" s="217"/>
    </row>
    <row r="165">
      <c r="A165" s="217"/>
      <c r="B165" s="217"/>
      <c r="C165" s="228" t="s">
        <v>955</v>
      </c>
      <c r="D165" s="228" t="s">
        <v>956</v>
      </c>
      <c r="E165" s="217"/>
      <c r="F165" s="217"/>
      <c r="G165" s="34"/>
      <c r="H165" s="211" t="s">
        <v>957</v>
      </c>
      <c r="I165" s="212">
        <v>281.0</v>
      </c>
      <c r="J165" s="220" t="s">
        <v>958</v>
      </c>
      <c r="K165" s="214" t="s">
        <v>959</v>
      </c>
      <c r="L165" s="89">
        <v>172.0</v>
      </c>
      <c r="M165" s="34"/>
      <c r="N165" s="34"/>
      <c r="O165" s="34"/>
      <c r="P165" s="34"/>
      <c r="Q165" s="34"/>
      <c r="R165" s="217"/>
      <c r="S165" s="217"/>
    </row>
    <row r="166">
      <c r="A166" s="217"/>
      <c r="B166" s="217"/>
      <c r="C166" s="228" t="s">
        <v>960</v>
      </c>
      <c r="D166" s="228" t="s">
        <v>270</v>
      </c>
      <c r="E166" s="217"/>
      <c r="F166" s="217"/>
      <c r="G166" s="34"/>
      <c r="H166" s="211" t="s">
        <v>376</v>
      </c>
      <c r="I166" s="212">
        <v>37.0</v>
      </c>
      <c r="J166" s="220" t="s">
        <v>961</v>
      </c>
      <c r="K166" s="214" t="s">
        <v>962</v>
      </c>
      <c r="L166" s="89">
        <v>173.0</v>
      </c>
      <c r="M166" s="34"/>
      <c r="N166" s="34"/>
      <c r="O166" s="34"/>
      <c r="P166" s="34"/>
      <c r="Q166" s="34"/>
      <c r="R166" s="217"/>
      <c r="S166" s="217"/>
    </row>
    <row r="167">
      <c r="A167" s="217"/>
      <c r="B167" s="217"/>
      <c r="C167" s="228" t="s">
        <v>963</v>
      </c>
      <c r="D167" s="228" t="s">
        <v>964</v>
      </c>
      <c r="E167" s="217"/>
      <c r="F167" s="217"/>
      <c r="G167" s="34"/>
      <c r="H167" s="211" t="s">
        <v>651</v>
      </c>
      <c r="I167" s="212">
        <v>311.0</v>
      </c>
      <c r="J167" s="220" t="s">
        <v>965</v>
      </c>
      <c r="K167" s="214" t="s">
        <v>966</v>
      </c>
      <c r="L167" s="89">
        <v>38.0</v>
      </c>
      <c r="M167" s="34"/>
      <c r="N167" s="34"/>
      <c r="O167" s="34"/>
      <c r="P167" s="34"/>
      <c r="Q167" s="34"/>
      <c r="R167" s="217"/>
      <c r="S167" s="217"/>
    </row>
    <row r="168">
      <c r="A168" s="217"/>
      <c r="B168" s="217"/>
      <c r="C168" s="228" t="s">
        <v>967</v>
      </c>
      <c r="D168" s="228" t="s">
        <v>968</v>
      </c>
      <c r="E168" s="217"/>
      <c r="F168" s="217"/>
      <c r="G168" s="34"/>
      <c r="H168" s="211" t="s">
        <v>383</v>
      </c>
      <c r="I168" s="212">
        <v>35.0</v>
      </c>
      <c r="J168" s="220" t="s">
        <v>969</v>
      </c>
      <c r="K168" s="214" t="s">
        <v>970</v>
      </c>
      <c r="L168" s="89">
        <v>39.0</v>
      </c>
      <c r="M168" s="34"/>
      <c r="N168" s="34"/>
      <c r="O168" s="34"/>
      <c r="P168" s="34"/>
      <c r="Q168" s="34"/>
      <c r="R168" s="217"/>
      <c r="S168" s="217"/>
    </row>
    <row r="169">
      <c r="A169" s="217"/>
      <c r="B169" s="217"/>
      <c r="C169" s="228" t="s">
        <v>777</v>
      </c>
      <c r="D169" s="228" t="s">
        <v>270</v>
      </c>
      <c r="E169" s="217"/>
      <c r="F169" s="217"/>
      <c r="G169" s="34"/>
      <c r="H169" s="211" t="s">
        <v>572</v>
      </c>
      <c r="I169" s="212">
        <v>278.0</v>
      </c>
      <c r="J169" s="220" t="s">
        <v>971</v>
      </c>
      <c r="K169" s="214" t="s">
        <v>972</v>
      </c>
      <c r="L169" s="89">
        <v>182.0</v>
      </c>
      <c r="M169" s="34"/>
      <c r="N169" s="34"/>
      <c r="O169" s="34"/>
      <c r="P169" s="34"/>
      <c r="Q169" s="34"/>
      <c r="R169" s="217"/>
      <c r="S169" s="217"/>
    </row>
    <row r="170">
      <c r="A170" s="217"/>
      <c r="B170" s="217"/>
      <c r="C170" s="228" t="s">
        <v>895</v>
      </c>
      <c r="D170" s="228" t="s">
        <v>270</v>
      </c>
      <c r="E170" s="217"/>
      <c r="F170" s="217"/>
      <c r="G170" s="34"/>
      <c r="H170" s="211" t="s">
        <v>973</v>
      </c>
      <c r="I170" s="212">
        <v>282.0</v>
      </c>
      <c r="J170" s="220" t="s">
        <v>974</v>
      </c>
      <c r="K170" s="214" t="s">
        <v>975</v>
      </c>
      <c r="L170" s="89">
        <v>174.0</v>
      </c>
      <c r="M170" s="34"/>
      <c r="N170" s="34"/>
      <c r="O170" s="34"/>
      <c r="P170" s="34"/>
      <c r="Q170" s="34"/>
      <c r="R170" s="217"/>
      <c r="S170" s="217"/>
    </row>
    <row r="171">
      <c r="A171" s="217"/>
      <c r="B171" s="217"/>
      <c r="C171" s="228" t="s">
        <v>976</v>
      </c>
      <c r="D171" s="228" t="s">
        <v>977</v>
      </c>
      <c r="E171" s="217"/>
      <c r="F171" s="217"/>
      <c r="G171" s="34"/>
      <c r="H171" s="211" t="s">
        <v>978</v>
      </c>
      <c r="I171" s="212">
        <v>81.0</v>
      </c>
      <c r="J171" s="220" t="s">
        <v>979</v>
      </c>
      <c r="K171" s="214" t="s">
        <v>980</v>
      </c>
      <c r="L171" s="89">
        <v>40.0</v>
      </c>
      <c r="M171" s="34"/>
      <c r="N171" s="34"/>
      <c r="O171" s="34"/>
      <c r="P171" s="34"/>
      <c r="Q171" s="34"/>
      <c r="R171" s="217"/>
      <c r="S171" s="217"/>
    </row>
    <row r="172">
      <c r="A172" s="217"/>
      <c r="B172" s="217"/>
      <c r="C172" s="228" t="s">
        <v>981</v>
      </c>
      <c r="D172" s="228" t="s">
        <v>270</v>
      </c>
      <c r="E172" s="217"/>
      <c r="F172" s="217"/>
      <c r="G172" s="34"/>
      <c r="H172" s="211" t="s">
        <v>656</v>
      </c>
      <c r="I172" s="212">
        <v>312.0</v>
      </c>
      <c r="J172" s="220" t="s">
        <v>982</v>
      </c>
      <c r="K172" s="214" t="s">
        <v>983</v>
      </c>
      <c r="L172" s="89">
        <v>180.0</v>
      </c>
      <c r="M172" s="34"/>
      <c r="N172" s="34"/>
      <c r="O172" s="34"/>
      <c r="P172" s="34"/>
      <c r="Q172" s="34"/>
      <c r="R172" s="217"/>
      <c r="S172" s="217"/>
    </row>
    <row r="173">
      <c r="A173" s="217"/>
      <c r="B173" s="217"/>
      <c r="C173" s="228" t="s">
        <v>984</v>
      </c>
      <c r="D173" s="228" t="s">
        <v>985</v>
      </c>
      <c r="E173" s="217"/>
      <c r="F173" s="217"/>
      <c r="G173" s="34"/>
      <c r="H173" s="211" t="s">
        <v>286</v>
      </c>
      <c r="I173" s="212">
        <v>38.0</v>
      </c>
      <c r="J173" s="220" t="s">
        <v>986</v>
      </c>
      <c r="K173" s="214" t="s">
        <v>987</v>
      </c>
      <c r="L173" s="89">
        <v>41.0</v>
      </c>
      <c r="M173" s="34"/>
      <c r="N173" s="34"/>
      <c r="O173" s="34"/>
      <c r="P173" s="34"/>
      <c r="Q173" s="34"/>
      <c r="R173" s="217"/>
      <c r="S173" s="217"/>
    </row>
    <row r="174">
      <c r="A174" s="217"/>
      <c r="B174" s="217"/>
      <c r="C174" s="228" t="s">
        <v>197</v>
      </c>
      <c r="D174" s="228" t="s">
        <v>988</v>
      </c>
      <c r="E174" s="217"/>
      <c r="F174" s="217"/>
      <c r="G174" s="34"/>
      <c r="H174" s="211" t="s">
        <v>989</v>
      </c>
      <c r="I174" s="212">
        <v>82.0</v>
      </c>
      <c r="J174" s="220" t="s">
        <v>990</v>
      </c>
      <c r="K174" s="214" t="s">
        <v>991</v>
      </c>
      <c r="L174" s="89">
        <v>42.0</v>
      </c>
      <c r="M174" s="34"/>
      <c r="N174" s="34"/>
      <c r="O174" s="34"/>
      <c r="P174" s="34"/>
      <c r="Q174" s="34"/>
      <c r="R174" s="217"/>
      <c r="S174" s="217"/>
    </row>
    <row r="175">
      <c r="A175" s="217"/>
      <c r="B175" s="217"/>
      <c r="C175" s="228" t="s">
        <v>992</v>
      </c>
      <c r="D175" s="228" t="s">
        <v>993</v>
      </c>
      <c r="E175" s="217"/>
      <c r="F175" s="217"/>
      <c r="G175" s="34"/>
      <c r="H175" s="211" t="s">
        <v>955</v>
      </c>
      <c r="I175" s="212">
        <v>247.0</v>
      </c>
      <c r="J175" s="220" t="s">
        <v>994</v>
      </c>
      <c r="K175" s="214" t="s">
        <v>995</v>
      </c>
      <c r="L175" s="89">
        <v>175.0</v>
      </c>
      <c r="M175" s="34"/>
      <c r="N175" s="34"/>
      <c r="O175" s="34"/>
      <c r="P175" s="34"/>
      <c r="Q175" s="34"/>
      <c r="R175" s="217"/>
      <c r="S175" s="217"/>
    </row>
    <row r="176">
      <c r="A176" s="217"/>
      <c r="B176" s="217"/>
      <c r="C176" s="228" t="s">
        <v>996</v>
      </c>
      <c r="D176" s="228" t="s">
        <v>270</v>
      </c>
      <c r="E176" s="217"/>
      <c r="F176" s="217"/>
      <c r="G176" s="34"/>
      <c r="H176" s="211" t="s">
        <v>909</v>
      </c>
      <c r="I176" s="212">
        <v>201.0</v>
      </c>
      <c r="J176" s="220" t="s">
        <v>997</v>
      </c>
      <c r="K176" s="214" t="s">
        <v>998</v>
      </c>
      <c r="L176" s="89">
        <v>63.0</v>
      </c>
      <c r="M176" s="34"/>
      <c r="N176" s="34"/>
      <c r="O176" s="34"/>
      <c r="P176" s="34"/>
      <c r="Q176" s="34"/>
      <c r="R176" s="217"/>
      <c r="S176" s="217"/>
    </row>
    <row r="177">
      <c r="A177" s="217"/>
      <c r="B177" s="217"/>
      <c r="C177" s="228" t="s">
        <v>999</v>
      </c>
      <c r="D177" s="228" t="s">
        <v>1000</v>
      </c>
      <c r="E177" s="217"/>
      <c r="F177" s="217"/>
      <c r="G177" s="34"/>
      <c r="H177" s="211" t="s">
        <v>1001</v>
      </c>
      <c r="I177" s="212">
        <v>162.0</v>
      </c>
      <c r="J177" s="220" t="s">
        <v>1002</v>
      </c>
      <c r="K177" s="214" t="s">
        <v>1003</v>
      </c>
      <c r="L177" s="89">
        <v>178.0</v>
      </c>
      <c r="M177" s="34"/>
      <c r="N177" s="34"/>
      <c r="O177" s="34"/>
      <c r="P177" s="34"/>
      <c r="Q177" s="34"/>
      <c r="R177" s="217"/>
      <c r="S177" s="217"/>
    </row>
    <row r="178">
      <c r="A178" s="217"/>
      <c r="B178" s="217"/>
      <c r="C178" s="228" t="s">
        <v>240</v>
      </c>
      <c r="D178" s="228" t="s">
        <v>1004</v>
      </c>
      <c r="E178" s="217"/>
      <c r="F178" s="217"/>
      <c r="G178" s="34"/>
      <c r="H178" s="211" t="s">
        <v>749</v>
      </c>
      <c r="I178" s="212">
        <v>146.0</v>
      </c>
      <c r="J178" s="220" t="s">
        <v>1005</v>
      </c>
      <c r="K178" s="214" t="s">
        <v>1006</v>
      </c>
      <c r="L178" s="89">
        <v>179.0</v>
      </c>
      <c r="M178" s="34"/>
      <c r="N178" s="34"/>
      <c r="O178" s="34"/>
      <c r="P178" s="34"/>
      <c r="Q178" s="34"/>
      <c r="R178" s="217"/>
      <c r="S178" s="217"/>
    </row>
    <row r="179">
      <c r="A179" s="217"/>
      <c r="B179" s="217"/>
      <c r="C179" s="228" t="s">
        <v>624</v>
      </c>
      <c r="D179" s="228" t="s">
        <v>270</v>
      </c>
      <c r="E179" s="217"/>
      <c r="F179" s="217"/>
      <c r="G179" s="34"/>
      <c r="H179" s="211" t="s">
        <v>659</v>
      </c>
      <c r="I179" s="212">
        <v>39.0</v>
      </c>
      <c r="J179" s="220" t="s">
        <v>1007</v>
      </c>
      <c r="K179" s="214" t="s">
        <v>1008</v>
      </c>
      <c r="L179" s="89">
        <v>177.0</v>
      </c>
      <c r="M179" s="34"/>
      <c r="N179" s="34"/>
      <c r="O179" s="34"/>
      <c r="P179" s="34"/>
      <c r="Q179" s="34"/>
      <c r="R179" s="217"/>
      <c r="S179" s="217"/>
    </row>
    <row r="180">
      <c r="A180" s="217"/>
      <c r="B180" s="217"/>
      <c r="C180" s="228" t="s">
        <v>751</v>
      </c>
      <c r="D180" s="228" t="s">
        <v>270</v>
      </c>
      <c r="E180" s="217"/>
      <c r="F180" s="217"/>
      <c r="G180" s="34"/>
      <c r="H180" s="211" t="s">
        <v>293</v>
      </c>
      <c r="I180" s="212">
        <v>40.0</v>
      </c>
      <c r="J180" s="220" t="s">
        <v>1009</v>
      </c>
      <c r="K180" s="214" t="s">
        <v>515</v>
      </c>
      <c r="L180" s="89">
        <v>43.0</v>
      </c>
      <c r="M180" s="34"/>
      <c r="N180" s="34"/>
      <c r="O180" s="34"/>
      <c r="P180" s="34"/>
      <c r="Q180" s="34"/>
      <c r="R180" s="217"/>
      <c r="S180" s="217"/>
    </row>
    <row r="181">
      <c r="A181" s="217"/>
      <c r="B181" s="217"/>
      <c r="C181" s="228" t="s">
        <v>787</v>
      </c>
      <c r="D181" s="228" t="s">
        <v>270</v>
      </c>
      <c r="E181" s="217"/>
      <c r="F181" s="217"/>
      <c r="G181" s="34"/>
      <c r="H181" s="211" t="s">
        <v>1010</v>
      </c>
      <c r="I181" s="212">
        <v>186.0</v>
      </c>
      <c r="J181" s="220" t="s">
        <v>1011</v>
      </c>
      <c r="K181" s="214" t="s">
        <v>1012</v>
      </c>
      <c r="L181" s="89">
        <v>176.0</v>
      </c>
      <c r="M181" s="34"/>
      <c r="N181" s="34"/>
      <c r="O181" s="34"/>
      <c r="P181" s="34"/>
      <c r="Q181" s="34"/>
      <c r="R181" s="217"/>
      <c r="S181" s="217"/>
    </row>
    <row r="182">
      <c r="A182" s="217"/>
      <c r="B182" s="217"/>
      <c r="C182" s="228" t="s">
        <v>837</v>
      </c>
      <c r="D182" s="228" t="s">
        <v>270</v>
      </c>
      <c r="E182" s="217"/>
      <c r="F182" s="217"/>
      <c r="G182" s="34"/>
      <c r="H182" s="211" t="s">
        <v>423</v>
      </c>
      <c r="I182" s="212">
        <v>261.0</v>
      </c>
      <c r="J182" s="220" t="s">
        <v>1013</v>
      </c>
      <c r="K182" s="214" t="s">
        <v>1014</v>
      </c>
      <c r="L182" s="89">
        <v>181.0</v>
      </c>
      <c r="M182" s="34"/>
      <c r="N182" s="34"/>
      <c r="O182" s="34"/>
      <c r="P182" s="34"/>
      <c r="Q182" s="34"/>
      <c r="R182" s="217"/>
      <c r="S182" s="217"/>
    </row>
    <row r="183">
      <c r="A183" s="217"/>
      <c r="B183" s="217"/>
      <c r="C183" s="228" t="s">
        <v>862</v>
      </c>
      <c r="D183" s="228" t="s">
        <v>1015</v>
      </c>
      <c r="E183" s="217"/>
      <c r="F183" s="217"/>
      <c r="G183" s="34"/>
      <c r="H183" s="211" t="s">
        <v>1016</v>
      </c>
      <c r="I183" s="212">
        <v>110.0</v>
      </c>
      <c r="J183" s="220" t="s">
        <v>1017</v>
      </c>
      <c r="K183" s="214" t="s">
        <v>1018</v>
      </c>
      <c r="L183" s="89">
        <v>183.0</v>
      </c>
      <c r="M183" s="34"/>
      <c r="N183" s="34"/>
      <c r="O183" s="34"/>
      <c r="P183" s="34"/>
      <c r="Q183" s="34"/>
      <c r="R183" s="217"/>
      <c r="S183" s="217"/>
    </row>
    <row r="184">
      <c r="A184" s="217"/>
      <c r="B184" s="217"/>
      <c r="C184" s="228" t="s">
        <v>923</v>
      </c>
      <c r="D184" s="228" t="s">
        <v>270</v>
      </c>
      <c r="E184" s="217"/>
      <c r="F184" s="217"/>
      <c r="G184" s="34"/>
      <c r="H184" s="211" t="s">
        <v>976</v>
      </c>
      <c r="I184" s="212">
        <v>61.0</v>
      </c>
      <c r="J184" s="220" t="s">
        <v>1019</v>
      </c>
      <c r="K184" s="214" t="s">
        <v>1020</v>
      </c>
      <c r="L184" s="89">
        <v>44.0</v>
      </c>
      <c r="M184" s="34"/>
      <c r="N184" s="34"/>
      <c r="O184" s="34"/>
      <c r="P184" s="34"/>
      <c r="Q184" s="34"/>
      <c r="R184" s="217"/>
      <c r="S184" s="217"/>
    </row>
    <row r="185">
      <c r="A185" s="217"/>
      <c r="B185" s="217"/>
      <c r="C185" s="228" t="s">
        <v>462</v>
      </c>
      <c r="D185" s="228" t="s">
        <v>1021</v>
      </c>
      <c r="E185" s="217"/>
      <c r="F185" s="217"/>
      <c r="G185" s="34"/>
      <c r="H185" s="211" t="s">
        <v>1022</v>
      </c>
      <c r="I185" s="212">
        <v>414.0</v>
      </c>
      <c r="J185" s="220" t="s">
        <v>1023</v>
      </c>
      <c r="K185" s="214" t="s">
        <v>1024</v>
      </c>
      <c r="L185" s="89">
        <v>45.0</v>
      </c>
      <c r="M185" s="34"/>
      <c r="N185" s="34"/>
      <c r="O185" s="34"/>
      <c r="P185" s="34"/>
      <c r="Q185" s="34"/>
      <c r="R185" s="217"/>
      <c r="S185" s="217"/>
    </row>
    <row r="186">
      <c r="A186" s="217"/>
      <c r="B186" s="217"/>
      <c r="C186" s="228" t="s">
        <v>474</v>
      </c>
      <c r="D186" s="228" t="s">
        <v>1025</v>
      </c>
      <c r="E186" s="217"/>
      <c r="F186" s="217"/>
      <c r="G186" s="34"/>
      <c r="H186" s="211" t="s">
        <v>981</v>
      </c>
      <c r="I186" s="212">
        <v>62.0</v>
      </c>
      <c r="J186" s="220" t="s">
        <v>1026</v>
      </c>
      <c r="K186" s="214" t="s">
        <v>1027</v>
      </c>
      <c r="L186" s="89">
        <v>184.0</v>
      </c>
      <c r="M186" s="34"/>
      <c r="N186" s="34"/>
      <c r="O186" s="34"/>
      <c r="P186" s="34"/>
      <c r="Q186" s="34"/>
      <c r="R186" s="217"/>
      <c r="S186" s="217"/>
    </row>
    <row r="187">
      <c r="A187" s="217"/>
      <c r="B187" s="217"/>
      <c r="C187" s="228" t="s">
        <v>550</v>
      </c>
      <c r="D187" s="228" t="s">
        <v>1028</v>
      </c>
      <c r="E187" s="217"/>
      <c r="F187" s="217"/>
      <c r="G187" s="34"/>
      <c r="H187" s="211" t="s">
        <v>1029</v>
      </c>
      <c r="I187" s="212">
        <v>528.0</v>
      </c>
      <c r="J187" s="220" t="s">
        <v>1030</v>
      </c>
      <c r="K187" s="214" t="s">
        <v>1031</v>
      </c>
      <c r="L187" s="89">
        <v>185.0</v>
      </c>
      <c r="M187" s="34"/>
      <c r="N187" s="34"/>
      <c r="O187" s="34"/>
      <c r="P187" s="34"/>
      <c r="Q187" s="34"/>
      <c r="R187" s="217"/>
      <c r="S187" s="217"/>
    </row>
    <row r="188">
      <c r="A188" s="217"/>
      <c r="B188" s="217"/>
      <c r="C188" s="228" t="s">
        <v>678</v>
      </c>
      <c r="D188" s="228" t="s">
        <v>1032</v>
      </c>
      <c r="E188" s="217"/>
      <c r="F188" s="217"/>
      <c r="G188" s="34"/>
      <c r="H188" s="211" t="s">
        <v>1033</v>
      </c>
      <c r="I188" s="212">
        <v>529.0</v>
      </c>
      <c r="J188" s="220" t="s">
        <v>1034</v>
      </c>
      <c r="K188" s="214" t="s">
        <v>1035</v>
      </c>
      <c r="L188" s="89">
        <v>46.0</v>
      </c>
      <c r="M188" s="34"/>
      <c r="N188" s="34"/>
      <c r="O188" s="34"/>
      <c r="P188" s="34"/>
      <c r="Q188" s="34"/>
      <c r="R188" s="217"/>
      <c r="S188" s="217"/>
    </row>
    <row r="189">
      <c r="A189" s="217"/>
      <c r="B189" s="217"/>
      <c r="C189" s="228" t="s">
        <v>978</v>
      </c>
      <c r="D189" s="228" t="s">
        <v>1036</v>
      </c>
      <c r="E189" s="217"/>
      <c r="F189" s="217"/>
      <c r="G189" s="34"/>
      <c r="H189" s="211" t="s">
        <v>1037</v>
      </c>
      <c r="I189" s="212">
        <v>435.0</v>
      </c>
      <c r="J189" s="220" t="s">
        <v>1038</v>
      </c>
      <c r="K189" s="214" t="s">
        <v>1039</v>
      </c>
      <c r="L189" s="89">
        <v>186.0</v>
      </c>
      <c r="M189" s="34"/>
      <c r="N189" s="34"/>
      <c r="O189" s="34"/>
      <c r="P189" s="34"/>
      <c r="Q189" s="34"/>
      <c r="R189" s="217"/>
      <c r="S189" s="217"/>
    </row>
    <row r="190">
      <c r="A190" s="217"/>
      <c r="B190" s="217"/>
      <c r="C190" s="228" t="s">
        <v>989</v>
      </c>
      <c r="D190" s="228" t="s">
        <v>270</v>
      </c>
      <c r="E190" s="217"/>
      <c r="F190" s="217"/>
      <c r="G190" s="34"/>
      <c r="H190" s="211" t="s">
        <v>592</v>
      </c>
      <c r="I190" s="212">
        <v>340.0</v>
      </c>
      <c r="J190" s="220" t="s">
        <v>1040</v>
      </c>
      <c r="K190" s="214" t="s">
        <v>1041</v>
      </c>
      <c r="L190" s="89">
        <v>187.0</v>
      </c>
      <c r="M190" s="34"/>
      <c r="N190" s="34"/>
      <c r="O190" s="34"/>
      <c r="P190" s="34"/>
      <c r="Q190" s="34"/>
      <c r="R190" s="217"/>
      <c r="S190" s="217"/>
    </row>
    <row r="191">
      <c r="A191" s="217"/>
      <c r="B191" s="217"/>
      <c r="C191" s="228" t="s">
        <v>1042</v>
      </c>
      <c r="D191" s="228" t="s">
        <v>1043</v>
      </c>
      <c r="E191" s="217"/>
      <c r="F191" s="217"/>
      <c r="G191" s="34"/>
      <c r="H191" s="211" t="s">
        <v>429</v>
      </c>
      <c r="I191" s="212">
        <v>262.0</v>
      </c>
      <c r="J191" s="220" t="s">
        <v>1044</v>
      </c>
      <c r="K191" s="214" t="s">
        <v>1045</v>
      </c>
      <c r="L191" s="89">
        <v>188.0</v>
      </c>
      <c r="M191" s="34"/>
      <c r="N191" s="34"/>
      <c r="O191" s="34"/>
      <c r="P191" s="34"/>
      <c r="Q191" s="34"/>
      <c r="R191" s="217"/>
      <c r="S191" s="217"/>
    </row>
    <row r="192">
      <c r="A192" s="217"/>
      <c r="B192" s="217"/>
      <c r="C192" s="228" t="s">
        <v>1046</v>
      </c>
      <c r="D192" s="228" t="s">
        <v>270</v>
      </c>
      <c r="E192" s="217"/>
      <c r="F192" s="217"/>
      <c r="G192" s="34"/>
      <c r="H192" s="211" t="s">
        <v>663</v>
      </c>
      <c r="I192" s="212">
        <v>313.0</v>
      </c>
      <c r="J192" s="220" t="s">
        <v>1047</v>
      </c>
      <c r="K192" s="214" t="s">
        <v>1048</v>
      </c>
      <c r="L192" s="89">
        <v>190.0</v>
      </c>
      <c r="M192" s="34"/>
      <c r="N192" s="34"/>
      <c r="O192" s="34"/>
      <c r="P192" s="34"/>
      <c r="Q192" s="34"/>
      <c r="R192" s="217"/>
      <c r="S192" s="217"/>
    </row>
    <row r="193">
      <c r="A193" s="217"/>
      <c r="B193" s="217"/>
      <c r="C193" s="228" t="s">
        <v>1049</v>
      </c>
      <c r="D193" s="228" t="s">
        <v>1050</v>
      </c>
      <c r="E193" s="217"/>
      <c r="F193" s="217"/>
      <c r="G193" s="34"/>
      <c r="H193" s="211" t="s">
        <v>869</v>
      </c>
      <c r="I193" s="212">
        <v>182.0</v>
      </c>
      <c r="J193" s="220" t="s">
        <v>1051</v>
      </c>
      <c r="K193" s="220" t="s">
        <v>1052</v>
      </c>
      <c r="L193" s="226">
        <v>189.0</v>
      </c>
      <c r="M193" s="34"/>
      <c r="N193" s="34"/>
      <c r="O193" s="34"/>
      <c r="P193" s="34"/>
      <c r="Q193" s="34"/>
      <c r="R193" s="217"/>
      <c r="S193" s="217"/>
    </row>
    <row r="194">
      <c r="A194" s="217"/>
      <c r="B194" s="217"/>
      <c r="C194" s="228" t="s">
        <v>1053</v>
      </c>
      <c r="D194" s="228" t="s">
        <v>1054</v>
      </c>
      <c r="E194" s="217"/>
      <c r="F194" s="217"/>
      <c r="G194" s="34"/>
      <c r="H194" s="211" t="s">
        <v>914</v>
      </c>
      <c r="I194" s="212">
        <v>202.0</v>
      </c>
      <c r="J194" s="220" t="s">
        <v>1055</v>
      </c>
      <c r="K194" s="220" t="s">
        <v>1056</v>
      </c>
      <c r="L194" s="226">
        <v>191.0</v>
      </c>
      <c r="M194" s="34"/>
      <c r="N194" s="34"/>
      <c r="O194" s="34"/>
      <c r="P194" s="34"/>
      <c r="Q194" s="34"/>
      <c r="R194" s="217"/>
      <c r="S194" s="217"/>
    </row>
    <row r="195">
      <c r="A195" s="217"/>
      <c r="B195" s="217"/>
      <c r="C195" s="228" t="s">
        <v>1057</v>
      </c>
      <c r="D195" s="228" t="s">
        <v>1058</v>
      </c>
      <c r="E195" s="217"/>
      <c r="F195" s="217"/>
      <c r="G195" s="34"/>
      <c r="H195" s="211" t="s">
        <v>436</v>
      </c>
      <c r="I195" s="212">
        <v>263.0</v>
      </c>
      <c r="J195" s="220" t="s">
        <v>1059</v>
      </c>
      <c r="K195" s="220" t="s">
        <v>1060</v>
      </c>
      <c r="L195" s="226">
        <v>192.0</v>
      </c>
      <c r="M195" s="34"/>
      <c r="N195" s="34"/>
      <c r="O195" s="34"/>
      <c r="P195" s="34"/>
      <c r="Q195" s="34"/>
      <c r="R195" s="217"/>
      <c r="S195" s="217"/>
    </row>
    <row r="196">
      <c r="A196" s="217"/>
      <c r="B196" s="217"/>
      <c r="C196" s="228" t="s">
        <v>590</v>
      </c>
      <c r="D196" s="228" t="s">
        <v>1061</v>
      </c>
      <c r="E196" s="217"/>
      <c r="F196" s="217"/>
      <c r="G196" s="34"/>
      <c r="H196" s="211" t="s">
        <v>754</v>
      </c>
      <c r="I196" s="212">
        <v>147.0</v>
      </c>
      <c r="J196" s="220" t="s">
        <v>1062</v>
      </c>
      <c r="K196" s="220" t="s">
        <v>1063</v>
      </c>
      <c r="L196" s="226">
        <v>193.0</v>
      </c>
      <c r="M196" s="34"/>
      <c r="N196" s="34"/>
      <c r="O196" s="34"/>
      <c r="P196" s="34"/>
      <c r="Q196" s="34"/>
      <c r="R196" s="217"/>
      <c r="S196" s="217"/>
    </row>
    <row r="197">
      <c r="A197" s="217"/>
      <c r="B197" s="217"/>
      <c r="C197" s="228" t="s">
        <v>634</v>
      </c>
      <c r="D197" s="228" t="s">
        <v>1064</v>
      </c>
      <c r="E197" s="217"/>
      <c r="F197" s="217"/>
      <c r="G197" s="34"/>
      <c r="H197" s="211" t="s">
        <v>1065</v>
      </c>
      <c r="I197" s="212">
        <v>163.0</v>
      </c>
      <c r="J197" s="220" t="s">
        <v>1066</v>
      </c>
      <c r="K197" s="220" t="s">
        <v>1067</v>
      </c>
      <c r="L197" s="226">
        <v>194.0</v>
      </c>
      <c r="M197" s="34"/>
      <c r="N197" s="34"/>
      <c r="O197" s="34"/>
      <c r="P197" s="34"/>
      <c r="Q197" s="34"/>
      <c r="R197" s="217"/>
      <c r="S197" s="217"/>
    </row>
    <row r="198">
      <c r="A198" s="217"/>
      <c r="B198" s="217"/>
      <c r="C198" s="228" t="s">
        <v>639</v>
      </c>
      <c r="D198" s="228" t="s">
        <v>270</v>
      </c>
      <c r="E198" s="217"/>
      <c r="F198" s="217"/>
      <c r="G198" s="34"/>
      <c r="H198" s="211" t="s">
        <v>599</v>
      </c>
      <c r="I198" s="212">
        <v>341.0</v>
      </c>
      <c r="J198" s="220" t="s">
        <v>1068</v>
      </c>
      <c r="K198" s="220" t="s">
        <v>1069</v>
      </c>
      <c r="L198" s="226">
        <v>47.0</v>
      </c>
      <c r="M198" s="34"/>
      <c r="N198" s="34"/>
      <c r="O198" s="34"/>
      <c r="P198" s="34"/>
      <c r="Q198" s="34"/>
      <c r="R198" s="217"/>
      <c r="S198" s="217"/>
    </row>
    <row r="199">
      <c r="A199" s="217"/>
      <c r="B199" s="217"/>
      <c r="C199" s="228" t="s">
        <v>644</v>
      </c>
      <c r="D199" s="228" t="s">
        <v>270</v>
      </c>
      <c r="E199" s="217"/>
      <c r="F199" s="217"/>
      <c r="G199" s="34"/>
      <c r="H199" s="211" t="s">
        <v>668</v>
      </c>
      <c r="I199" s="212">
        <v>314.0</v>
      </c>
      <c r="J199" s="220" t="s">
        <v>1070</v>
      </c>
      <c r="K199" s="34"/>
      <c r="L199" s="34"/>
      <c r="M199" s="34"/>
      <c r="N199" s="34"/>
      <c r="O199" s="34"/>
      <c r="P199" s="34"/>
      <c r="Q199" s="34"/>
      <c r="R199" s="217"/>
      <c r="S199" s="217"/>
    </row>
    <row r="200">
      <c r="A200" s="217"/>
      <c r="B200" s="217"/>
      <c r="C200" s="228" t="s">
        <v>648</v>
      </c>
      <c r="D200" s="228" t="s">
        <v>270</v>
      </c>
      <c r="E200" s="217"/>
      <c r="F200" s="217"/>
      <c r="G200" s="34"/>
      <c r="H200" s="211" t="s">
        <v>812</v>
      </c>
      <c r="I200" s="212">
        <v>224.0</v>
      </c>
      <c r="J200" s="220" t="s">
        <v>1071</v>
      </c>
      <c r="K200" s="34"/>
      <c r="L200" s="34"/>
      <c r="M200" s="34"/>
      <c r="N200" s="34"/>
      <c r="O200" s="34"/>
      <c r="P200" s="34"/>
      <c r="Q200" s="34"/>
      <c r="R200" s="217"/>
      <c r="S200" s="217"/>
    </row>
    <row r="201">
      <c r="A201" s="217"/>
      <c r="B201" s="217"/>
      <c r="C201" s="228" t="s">
        <v>653</v>
      </c>
      <c r="D201" s="228" t="s">
        <v>1072</v>
      </c>
      <c r="E201" s="217"/>
      <c r="F201" s="217"/>
      <c r="G201" s="34"/>
      <c r="H201" s="211" t="s">
        <v>441</v>
      </c>
      <c r="I201" s="212">
        <v>264.0</v>
      </c>
      <c r="J201" s="220" t="s">
        <v>1073</v>
      </c>
      <c r="K201" s="34"/>
      <c r="L201" s="34"/>
      <c r="M201" s="34"/>
      <c r="N201" s="34"/>
      <c r="O201" s="34"/>
      <c r="P201" s="34"/>
      <c r="Q201" s="34"/>
      <c r="R201" s="217"/>
      <c r="S201" s="217"/>
    </row>
    <row r="202">
      <c r="A202" s="217"/>
      <c r="B202" s="217"/>
      <c r="C202" s="228" t="s">
        <v>657</v>
      </c>
      <c r="D202" s="228" t="s">
        <v>270</v>
      </c>
      <c r="E202" s="217"/>
      <c r="F202" s="217"/>
      <c r="G202" s="34"/>
      <c r="H202" s="211" t="s">
        <v>1074</v>
      </c>
      <c r="I202" s="212">
        <v>415.0</v>
      </c>
      <c r="J202" s="220" t="s">
        <v>1075</v>
      </c>
      <c r="K202" s="34"/>
      <c r="L202" s="34"/>
      <c r="M202" s="34"/>
      <c r="N202" s="34"/>
      <c r="O202" s="34"/>
      <c r="P202" s="34"/>
      <c r="Q202" s="34"/>
      <c r="R202" s="217"/>
      <c r="S202" s="217"/>
    </row>
    <row r="203">
      <c r="A203" s="217"/>
      <c r="B203" s="217"/>
      <c r="C203" s="228" t="s">
        <v>660</v>
      </c>
      <c r="D203" s="228" t="s">
        <v>1076</v>
      </c>
      <c r="E203" s="217"/>
      <c r="F203" s="217"/>
      <c r="G203" s="34"/>
      <c r="H203" s="211" t="s">
        <v>1077</v>
      </c>
      <c r="I203" s="212">
        <v>335.0</v>
      </c>
      <c r="J203" s="220" t="s">
        <v>1078</v>
      </c>
      <c r="K203" s="34"/>
      <c r="L203" s="34"/>
      <c r="M203" s="34"/>
      <c r="N203" s="34"/>
      <c r="O203" s="34"/>
      <c r="P203" s="34"/>
      <c r="Q203" s="34"/>
      <c r="R203" s="217"/>
      <c r="S203" s="217"/>
    </row>
    <row r="204">
      <c r="A204" s="217"/>
      <c r="B204" s="217"/>
      <c r="C204" s="228" t="s">
        <v>665</v>
      </c>
      <c r="D204" s="228" t="s">
        <v>270</v>
      </c>
      <c r="E204" s="217"/>
      <c r="F204" s="217"/>
      <c r="G204" s="34"/>
      <c r="H204" s="211" t="s">
        <v>91</v>
      </c>
      <c r="I204" s="212">
        <v>41.0</v>
      </c>
      <c r="J204" s="220" t="s">
        <v>1079</v>
      </c>
      <c r="K204" s="34"/>
      <c r="L204" s="34"/>
      <c r="M204" s="34"/>
      <c r="N204" s="34"/>
      <c r="O204" s="34"/>
      <c r="P204" s="34"/>
      <c r="Q204" s="34"/>
      <c r="R204" s="217"/>
      <c r="S204" s="217"/>
    </row>
    <row r="205">
      <c r="A205" s="217"/>
      <c r="B205" s="217"/>
      <c r="C205" s="228" t="s">
        <v>669</v>
      </c>
      <c r="D205" s="228" t="s">
        <v>270</v>
      </c>
      <c r="E205" s="217"/>
      <c r="F205" s="217"/>
      <c r="G205" s="34"/>
      <c r="H205" s="211" t="s">
        <v>1080</v>
      </c>
      <c r="I205" s="212">
        <v>164.0</v>
      </c>
      <c r="J205" s="220" t="s">
        <v>1081</v>
      </c>
      <c r="K205" s="34"/>
      <c r="L205" s="34"/>
      <c r="M205" s="34"/>
      <c r="N205" s="34"/>
      <c r="O205" s="34"/>
      <c r="P205" s="34"/>
      <c r="Q205" s="34"/>
      <c r="R205" s="217"/>
      <c r="S205" s="217"/>
    </row>
    <row r="206">
      <c r="A206" s="217"/>
      <c r="B206" s="217"/>
      <c r="C206" s="228" t="s">
        <v>1082</v>
      </c>
      <c r="D206" s="228" t="s">
        <v>270</v>
      </c>
      <c r="E206" s="217"/>
      <c r="F206" s="217"/>
      <c r="G206" s="34"/>
      <c r="H206" s="211" t="s">
        <v>395</v>
      </c>
      <c r="I206" s="212">
        <v>20.0</v>
      </c>
      <c r="J206" s="220" t="s">
        <v>1083</v>
      </c>
      <c r="K206" s="34"/>
      <c r="L206" s="34"/>
      <c r="M206" s="34"/>
      <c r="N206" s="34"/>
      <c r="O206" s="34"/>
      <c r="P206" s="34"/>
      <c r="Q206" s="34"/>
      <c r="R206" s="217"/>
      <c r="S206" s="217"/>
    </row>
    <row r="207">
      <c r="A207" s="217"/>
      <c r="B207" s="217"/>
      <c r="C207" s="228" t="s">
        <v>1084</v>
      </c>
      <c r="D207" s="228" t="s">
        <v>270</v>
      </c>
      <c r="E207" s="217"/>
      <c r="F207" s="217"/>
      <c r="G207" s="34"/>
      <c r="H207" s="211" t="s">
        <v>1085</v>
      </c>
      <c r="I207" s="212">
        <v>138.0</v>
      </c>
      <c r="J207" s="220" t="s">
        <v>1086</v>
      </c>
      <c r="K207" s="34"/>
      <c r="L207" s="34"/>
      <c r="M207" s="34"/>
      <c r="N207" s="34"/>
      <c r="O207" s="34"/>
      <c r="P207" s="34"/>
      <c r="Q207" s="34"/>
      <c r="R207" s="217"/>
      <c r="S207" s="217"/>
    </row>
    <row r="208">
      <c r="A208" s="217"/>
      <c r="B208" s="217"/>
      <c r="C208" s="228" t="s">
        <v>574</v>
      </c>
      <c r="D208" s="228" t="s">
        <v>1087</v>
      </c>
      <c r="E208" s="217"/>
      <c r="F208" s="217"/>
      <c r="G208" s="34"/>
      <c r="H208" s="211" t="s">
        <v>759</v>
      </c>
      <c r="I208" s="212">
        <v>148.0</v>
      </c>
      <c r="J208" s="220" t="s">
        <v>1088</v>
      </c>
      <c r="K208" s="34"/>
      <c r="L208" s="34"/>
      <c r="M208" s="34"/>
      <c r="N208" s="34"/>
      <c r="O208" s="34"/>
      <c r="P208" s="34"/>
      <c r="Q208" s="34"/>
      <c r="R208" s="217"/>
      <c r="S208" s="217"/>
    </row>
    <row r="209">
      <c r="A209" s="217"/>
      <c r="B209" s="217"/>
      <c r="C209" s="228" t="s">
        <v>686</v>
      </c>
      <c r="D209" s="228" t="s">
        <v>270</v>
      </c>
      <c r="E209" s="217"/>
      <c r="F209" s="217"/>
      <c r="G209" s="34"/>
      <c r="H209" s="211" t="s">
        <v>1089</v>
      </c>
      <c r="I209" s="212">
        <v>553.0</v>
      </c>
      <c r="J209" s="220" t="s">
        <v>1090</v>
      </c>
      <c r="K209" s="34"/>
      <c r="L209" s="34"/>
      <c r="M209" s="34"/>
      <c r="N209" s="34"/>
      <c r="O209" s="34"/>
      <c r="P209" s="34"/>
      <c r="Q209" s="34"/>
      <c r="R209" s="217"/>
      <c r="S209" s="217"/>
    </row>
    <row r="210">
      <c r="A210" s="217"/>
      <c r="B210" s="217"/>
      <c r="C210" s="228" t="s">
        <v>691</v>
      </c>
      <c r="D210" s="228" t="s">
        <v>270</v>
      </c>
      <c r="E210" s="217"/>
      <c r="F210" s="217"/>
      <c r="G210" s="34"/>
      <c r="H210" s="211" t="s">
        <v>532</v>
      </c>
      <c r="I210" s="212">
        <v>157.0</v>
      </c>
      <c r="J210" s="220" t="s">
        <v>1091</v>
      </c>
      <c r="K210" s="34"/>
      <c r="L210" s="34"/>
      <c r="M210" s="34"/>
      <c r="N210" s="34"/>
      <c r="O210" s="34"/>
      <c r="P210" s="34"/>
      <c r="Q210" s="34"/>
      <c r="R210" s="217"/>
      <c r="S210" s="217"/>
    </row>
    <row r="211">
      <c r="A211" s="217"/>
      <c r="B211" s="217"/>
      <c r="C211" s="228" t="s">
        <v>696</v>
      </c>
      <c r="D211" s="228" t="s">
        <v>270</v>
      </c>
      <c r="E211" s="217"/>
      <c r="F211" s="217"/>
      <c r="G211" s="34"/>
      <c r="H211" s="211" t="s">
        <v>672</v>
      </c>
      <c r="I211" s="212">
        <v>315.0</v>
      </c>
      <c r="J211" s="220" t="s">
        <v>1092</v>
      </c>
      <c r="K211" s="34"/>
      <c r="L211" s="34"/>
      <c r="M211" s="34"/>
      <c r="N211" s="34"/>
      <c r="O211" s="34"/>
      <c r="P211" s="34"/>
      <c r="Q211" s="34"/>
      <c r="R211" s="217"/>
      <c r="S211" s="217"/>
    </row>
    <row r="212">
      <c r="A212" s="217"/>
      <c r="B212" s="217"/>
      <c r="C212" s="228" t="s">
        <v>700</v>
      </c>
      <c r="D212" s="228" t="s">
        <v>1093</v>
      </c>
      <c r="E212" s="217"/>
      <c r="F212" s="217"/>
      <c r="G212" s="34"/>
      <c r="H212" s="211" t="s">
        <v>1094</v>
      </c>
      <c r="I212" s="212">
        <v>122.0</v>
      </c>
      <c r="J212" s="220" t="s">
        <v>1037</v>
      </c>
      <c r="K212" s="34"/>
      <c r="L212" s="34"/>
      <c r="M212" s="34"/>
      <c r="N212" s="34"/>
      <c r="O212" s="34"/>
      <c r="P212" s="34"/>
      <c r="Q212" s="34"/>
      <c r="R212" s="217"/>
      <c r="S212" s="217"/>
    </row>
    <row r="213">
      <c r="A213" s="217"/>
      <c r="B213" s="217"/>
      <c r="C213" s="228" t="s">
        <v>756</v>
      </c>
      <c r="D213" s="228" t="s">
        <v>270</v>
      </c>
      <c r="E213" s="217"/>
      <c r="F213" s="217"/>
      <c r="G213" s="34"/>
      <c r="H213" s="211" t="s">
        <v>400</v>
      </c>
      <c r="I213" s="212">
        <v>43.0</v>
      </c>
      <c r="J213" s="220" t="s">
        <v>1095</v>
      </c>
      <c r="K213" s="34"/>
      <c r="L213" s="34"/>
      <c r="M213" s="34"/>
      <c r="N213" s="34"/>
      <c r="O213" s="34"/>
      <c r="P213" s="34"/>
      <c r="Q213" s="34"/>
      <c r="R213" s="217"/>
      <c r="S213" s="217"/>
    </row>
    <row r="214">
      <c r="A214" s="217"/>
      <c r="B214" s="217"/>
      <c r="C214" s="228" t="s">
        <v>809</v>
      </c>
      <c r="D214" s="228" t="s">
        <v>270</v>
      </c>
      <c r="E214" s="217"/>
      <c r="F214" s="217"/>
      <c r="G214" s="34"/>
      <c r="H214" s="211" t="s">
        <v>407</v>
      </c>
      <c r="I214" s="212">
        <v>187.0</v>
      </c>
      <c r="J214" s="220" t="s">
        <v>1096</v>
      </c>
      <c r="K214" s="34"/>
      <c r="L214" s="34"/>
      <c r="M214" s="34"/>
      <c r="N214" s="34"/>
      <c r="O214" s="34"/>
      <c r="P214" s="34"/>
      <c r="Q214" s="34"/>
      <c r="R214" s="217"/>
      <c r="S214" s="217"/>
    </row>
    <row r="215">
      <c r="A215" s="217"/>
      <c r="B215" s="217"/>
      <c r="C215" s="228" t="s">
        <v>1016</v>
      </c>
      <c r="D215" s="228" t="s">
        <v>1097</v>
      </c>
      <c r="E215" s="217"/>
      <c r="F215" s="217"/>
      <c r="G215" s="34"/>
      <c r="H215" s="211" t="s">
        <v>1098</v>
      </c>
      <c r="I215" s="212">
        <v>188.0</v>
      </c>
      <c r="J215" s="220" t="s">
        <v>1099</v>
      </c>
      <c r="K215" s="34"/>
      <c r="L215" s="34"/>
      <c r="M215" s="34"/>
      <c r="N215" s="34"/>
      <c r="O215" s="34"/>
      <c r="P215" s="34"/>
      <c r="Q215" s="34"/>
      <c r="R215" s="217"/>
      <c r="S215" s="217"/>
    </row>
    <row r="216">
      <c r="A216" s="217"/>
      <c r="B216" s="217"/>
      <c r="C216" s="228" t="s">
        <v>1100</v>
      </c>
      <c r="D216" s="228" t="s">
        <v>270</v>
      </c>
      <c r="E216" s="217"/>
      <c r="F216" s="217"/>
      <c r="G216" s="34"/>
      <c r="H216" s="211" t="s">
        <v>1101</v>
      </c>
      <c r="I216" s="212">
        <v>189.0</v>
      </c>
      <c r="J216" s="220" t="s">
        <v>1102</v>
      </c>
      <c r="K216" s="34"/>
      <c r="L216" s="34"/>
      <c r="M216" s="34"/>
      <c r="N216" s="34"/>
      <c r="O216" s="34"/>
      <c r="P216" s="34"/>
      <c r="Q216" s="34"/>
      <c r="R216" s="217"/>
      <c r="S216" s="217"/>
    </row>
    <row r="217">
      <c r="A217" s="217"/>
      <c r="B217" s="217"/>
      <c r="C217" s="228" t="s">
        <v>1103</v>
      </c>
      <c r="D217" s="228" t="s">
        <v>270</v>
      </c>
      <c r="E217" s="217"/>
      <c r="F217" s="217"/>
      <c r="G217" s="34"/>
      <c r="H217" s="211" t="s">
        <v>1104</v>
      </c>
      <c r="I217" s="212">
        <v>559.0</v>
      </c>
      <c r="J217" s="220" t="s">
        <v>1105</v>
      </c>
      <c r="K217" s="34"/>
      <c r="L217" s="34"/>
      <c r="M217" s="34"/>
      <c r="N217" s="34"/>
      <c r="O217" s="34"/>
      <c r="P217" s="34"/>
      <c r="Q217" s="34"/>
      <c r="R217" s="217"/>
      <c r="S217" s="217"/>
    </row>
    <row r="218">
      <c r="A218" s="217"/>
      <c r="B218" s="217"/>
      <c r="C218" s="228" t="s">
        <v>1106</v>
      </c>
      <c r="D218" s="228" t="s">
        <v>270</v>
      </c>
      <c r="E218" s="217"/>
      <c r="F218" s="217"/>
      <c r="G218" s="34"/>
      <c r="H218" s="211" t="s">
        <v>1107</v>
      </c>
      <c r="I218" s="212">
        <v>560.0</v>
      </c>
      <c r="J218" s="220" t="s">
        <v>1108</v>
      </c>
      <c r="K218" s="34"/>
      <c r="L218" s="34"/>
      <c r="M218" s="34"/>
      <c r="N218" s="34"/>
      <c r="O218" s="34"/>
      <c r="P218" s="34"/>
      <c r="Q218" s="34"/>
      <c r="R218" s="217"/>
      <c r="S218" s="217"/>
    </row>
    <row r="219">
      <c r="A219" s="217"/>
      <c r="B219" s="217"/>
      <c r="C219" s="228" t="s">
        <v>425</v>
      </c>
      <c r="D219" s="228" t="s">
        <v>270</v>
      </c>
      <c r="E219" s="217"/>
      <c r="F219" s="217"/>
      <c r="G219" s="34"/>
      <c r="H219" s="211" t="s">
        <v>1109</v>
      </c>
      <c r="I219" s="212">
        <v>561.0</v>
      </c>
      <c r="J219" s="220" t="s">
        <v>1110</v>
      </c>
      <c r="K219" s="34"/>
      <c r="L219" s="34"/>
      <c r="M219" s="34"/>
      <c r="N219" s="34"/>
      <c r="O219" s="34"/>
      <c r="P219" s="34"/>
      <c r="Q219" s="34"/>
      <c r="R219" s="217"/>
      <c r="S219" s="217"/>
    </row>
    <row r="220">
      <c r="A220" s="217"/>
      <c r="B220" s="217"/>
      <c r="C220" s="228" t="s">
        <v>449</v>
      </c>
      <c r="D220" s="228" t="s">
        <v>1111</v>
      </c>
      <c r="E220" s="217"/>
      <c r="F220" s="217"/>
      <c r="G220" s="34"/>
      <c r="H220" s="211" t="s">
        <v>984</v>
      </c>
      <c r="I220" s="212">
        <v>427.0</v>
      </c>
      <c r="J220" s="220" t="s">
        <v>1112</v>
      </c>
      <c r="K220" s="34"/>
      <c r="L220" s="34"/>
      <c r="M220" s="34"/>
      <c r="N220" s="34"/>
      <c r="O220" s="34"/>
      <c r="P220" s="34"/>
      <c r="Q220" s="34"/>
      <c r="R220" s="217"/>
      <c r="S220" s="217"/>
    </row>
    <row r="221">
      <c r="A221" s="217"/>
      <c r="B221" s="217"/>
      <c r="C221" s="228" t="s">
        <v>486</v>
      </c>
      <c r="D221" s="228" t="s">
        <v>1113</v>
      </c>
      <c r="E221" s="217"/>
      <c r="F221" s="217"/>
      <c r="G221" s="34"/>
      <c r="H221" s="211" t="s">
        <v>197</v>
      </c>
      <c r="I221" s="212">
        <v>63.0</v>
      </c>
      <c r="J221" s="220" t="s">
        <v>1114</v>
      </c>
      <c r="K221" s="34"/>
      <c r="L221" s="34"/>
      <c r="M221" s="34"/>
      <c r="N221" s="34"/>
      <c r="O221" s="34"/>
      <c r="P221" s="34"/>
      <c r="Q221" s="34"/>
      <c r="R221" s="217"/>
      <c r="S221" s="217"/>
    </row>
    <row r="222">
      <c r="A222" s="217"/>
      <c r="B222" s="217"/>
      <c r="C222" s="228" t="s">
        <v>554</v>
      </c>
      <c r="D222" s="228" t="s">
        <v>270</v>
      </c>
      <c r="E222" s="217"/>
      <c r="F222" s="217"/>
      <c r="G222" s="34"/>
      <c r="H222" s="211" t="s">
        <v>300</v>
      </c>
      <c r="I222" s="212">
        <v>231.0</v>
      </c>
      <c r="J222" s="220" t="s">
        <v>1115</v>
      </c>
      <c r="K222" s="34"/>
      <c r="L222" s="34"/>
      <c r="M222" s="34"/>
      <c r="N222" s="34"/>
      <c r="O222" s="34"/>
      <c r="P222" s="34"/>
      <c r="Q222" s="34"/>
      <c r="R222" s="217"/>
      <c r="S222" s="217"/>
    </row>
    <row r="223">
      <c r="A223" s="217"/>
      <c r="B223" s="217"/>
      <c r="C223" s="228" t="s">
        <v>586</v>
      </c>
      <c r="D223" s="228" t="s">
        <v>270</v>
      </c>
      <c r="E223" s="217"/>
      <c r="F223" s="217"/>
      <c r="G223" s="34"/>
      <c r="H223" s="211" t="s">
        <v>677</v>
      </c>
      <c r="I223" s="212">
        <v>316.0</v>
      </c>
      <c r="J223" s="220" t="s">
        <v>1116</v>
      </c>
      <c r="K223" s="34"/>
      <c r="L223" s="34"/>
      <c r="M223" s="34"/>
      <c r="N223" s="34"/>
      <c r="O223" s="34"/>
      <c r="P223" s="34"/>
      <c r="Q223" s="34"/>
      <c r="R223" s="217"/>
      <c r="S223" s="217"/>
    </row>
    <row r="224">
      <c r="A224" s="217"/>
      <c r="B224" s="217"/>
      <c r="C224" s="228" t="s">
        <v>601</v>
      </c>
      <c r="D224" s="228" t="s">
        <v>270</v>
      </c>
      <c r="E224" s="217"/>
      <c r="F224" s="217"/>
      <c r="G224" s="34"/>
      <c r="H224" s="211" t="s">
        <v>536</v>
      </c>
      <c r="I224" s="212">
        <v>158.0</v>
      </c>
      <c r="J224" s="220" t="s">
        <v>1117</v>
      </c>
      <c r="K224" s="34"/>
      <c r="L224" s="34"/>
      <c r="M224" s="34"/>
      <c r="N224" s="34"/>
      <c r="O224" s="34"/>
      <c r="P224" s="34"/>
      <c r="Q224" s="34"/>
      <c r="R224" s="217"/>
      <c r="S224" s="217"/>
    </row>
    <row r="225">
      <c r="A225" s="217"/>
      <c r="B225" s="217"/>
      <c r="C225" s="228" t="s">
        <v>614</v>
      </c>
      <c r="D225" s="228" t="s">
        <v>270</v>
      </c>
      <c r="E225" s="217"/>
      <c r="F225" s="217"/>
      <c r="G225" s="34"/>
      <c r="H225" s="211" t="s">
        <v>412</v>
      </c>
      <c r="I225" s="212">
        <v>56.0</v>
      </c>
      <c r="J225" s="220" t="s">
        <v>1118</v>
      </c>
      <c r="K225" s="34"/>
      <c r="L225" s="34"/>
      <c r="M225" s="34"/>
      <c r="N225" s="34"/>
      <c r="O225" s="34"/>
      <c r="P225" s="34"/>
      <c r="Q225" s="34"/>
      <c r="R225" s="217"/>
      <c r="S225" s="217"/>
    </row>
    <row r="226">
      <c r="A226" s="217"/>
      <c r="B226" s="217"/>
      <c r="C226" s="228" t="s">
        <v>617</v>
      </c>
      <c r="D226" s="228" t="s">
        <v>1119</v>
      </c>
      <c r="E226" s="217"/>
      <c r="F226" s="217"/>
      <c r="G226" s="34"/>
      <c r="H226" s="211" t="s">
        <v>213</v>
      </c>
      <c r="I226" s="212">
        <v>57.0</v>
      </c>
      <c r="J226" s="220" t="s">
        <v>1120</v>
      </c>
      <c r="K226" s="34"/>
      <c r="L226" s="34"/>
      <c r="M226" s="34"/>
      <c r="N226" s="34"/>
      <c r="O226" s="34"/>
      <c r="P226" s="34"/>
      <c r="Q226" s="34"/>
      <c r="R226" s="217"/>
      <c r="S226" s="217"/>
    </row>
    <row r="227">
      <c r="A227" s="217"/>
      <c r="B227" s="217"/>
      <c r="C227" s="228" t="s">
        <v>674</v>
      </c>
      <c r="D227" s="228" t="s">
        <v>1121</v>
      </c>
      <c r="E227" s="217"/>
      <c r="F227" s="217"/>
      <c r="G227" s="34"/>
      <c r="H227" s="211" t="s">
        <v>1122</v>
      </c>
      <c r="I227" s="212">
        <v>571.0</v>
      </c>
      <c r="J227" s="220" t="s">
        <v>1123</v>
      </c>
      <c r="K227" s="34"/>
      <c r="L227" s="34"/>
      <c r="M227" s="34"/>
      <c r="N227" s="34"/>
      <c r="O227" s="34"/>
      <c r="P227" s="34"/>
      <c r="Q227" s="34"/>
      <c r="R227" s="217"/>
      <c r="S227" s="217"/>
    </row>
    <row r="228">
      <c r="A228" s="217"/>
      <c r="B228" s="217"/>
      <c r="C228" s="228" t="s">
        <v>769</v>
      </c>
      <c r="D228" s="228" t="s">
        <v>270</v>
      </c>
      <c r="E228" s="217"/>
      <c r="F228" s="217"/>
      <c r="G228" s="34"/>
      <c r="H228" s="211" t="s">
        <v>1124</v>
      </c>
      <c r="I228" s="212">
        <v>581.0</v>
      </c>
      <c r="J228" s="220" t="s">
        <v>1125</v>
      </c>
      <c r="K228" s="34"/>
      <c r="L228" s="34"/>
      <c r="M228" s="34"/>
      <c r="N228" s="34"/>
      <c r="O228" s="34"/>
      <c r="P228" s="34"/>
      <c r="Q228" s="34"/>
      <c r="R228" s="217"/>
      <c r="S228" s="217"/>
    </row>
    <row r="229">
      <c r="A229" s="217"/>
      <c r="B229" s="217"/>
      <c r="C229" s="228" t="s">
        <v>773</v>
      </c>
      <c r="D229" s="228" t="s">
        <v>270</v>
      </c>
      <c r="E229" s="217"/>
      <c r="F229" s="217"/>
      <c r="G229" s="34"/>
      <c r="H229" s="211" t="s">
        <v>1126</v>
      </c>
      <c r="I229" s="212">
        <v>590.0</v>
      </c>
      <c r="J229" s="220" t="s">
        <v>1127</v>
      </c>
      <c r="K229" s="34"/>
      <c r="L229" s="34"/>
      <c r="M229" s="34"/>
      <c r="N229" s="34"/>
      <c r="O229" s="34"/>
      <c r="P229" s="34"/>
      <c r="Q229" s="34"/>
      <c r="R229" s="217"/>
      <c r="S229" s="217"/>
    </row>
    <row r="230">
      <c r="A230" s="217"/>
      <c r="B230" s="217"/>
      <c r="C230" s="228" t="s">
        <v>800</v>
      </c>
      <c r="D230" s="228" t="s">
        <v>270</v>
      </c>
      <c r="E230" s="217"/>
      <c r="F230" s="217"/>
      <c r="G230" s="34"/>
      <c r="H230" s="211" t="s">
        <v>878</v>
      </c>
      <c r="I230" s="212">
        <v>67.0</v>
      </c>
      <c r="J230" s="220" t="s">
        <v>1128</v>
      </c>
      <c r="K230" s="34"/>
      <c r="L230" s="34"/>
      <c r="M230" s="34"/>
      <c r="N230" s="34"/>
      <c r="O230" s="34"/>
      <c r="P230" s="34"/>
      <c r="Q230" s="34"/>
      <c r="R230" s="217"/>
      <c r="S230" s="217"/>
    </row>
    <row r="231">
      <c r="A231" s="217"/>
      <c r="B231" s="217"/>
      <c r="C231" s="228" t="s">
        <v>897</v>
      </c>
      <c r="D231" s="228" t="s">
        <v>270</v>
      </c>
      <c r="E231" s="217"/>
      <c r="F231" s="217"/>
      <c r="G231" s="34"/>
      <c r="H231" s="211" t="s">
        <v>681</v>
      </c>
      <c r="I231" s="212">
        <v>317.0</v>
      </c>
      <c r="J231" s="220" t="s">
        <v>1129</v>
      </c>
      <c r="K231" s="34"/>
      <c r="L231" s="34"/>
      <c r="M231" s="34"/>
      <c r="N231" s="34"/>
      <c r="O231" s="34"/>
      <c r="P231" s="34"/>
      <c r="Q231" s="34"/>
      <c r="R231" s="217"/>
      <c r="S231" s="217"/>
    </row>
    <row r="232">
      <c r="A232" s="217"/>
      <c r="B232" s="217"/>
      <c r="C232" s="228" t="s">
        <v>370</v>
      </c>
      <c r="D232" s="228" t="s">
        <v>270</v>
      </c>
      <c r="E232" s="217"/>
      <c r="F232" s="217"/>
      <c r="G232" s="34"/>
      <c r="H232" s="211" t="s">
        <v>308</v>
      </c>
      <c r="I232" s="212">
        <v>45.0</v>
      </c>
      <c r="J232" s="220" t="s">
        <v>1130</v>
      </c>
      <c r="K232" s="34"/>
      <c r="L232" s="34"/>
      <c r="M232" s="34"/>
      <c r="N232" s="34"/>
      <c r="O232" s="34"/>
      <c r="P232" s="34"/>
      <c r="Q232" s="34"/>
      <c r="R232" s="217"/>
      <c r="S232" s="217"/>
    </row>
    <row r="233">
      <c r="A233" s="217"/>
      <c r="B233" s="217"/>
      <c r="C233" s="228" t="s">
        <v>1037</v>
      </c>
      <c r="D233" s="228" t="s">
        <v>1131</v>
      </c>
      <c r="E233" s="217"/>
      <c r="F233" s="217"/>
      <c r="G233" s="34"/>
      <c r="H233" s="211" t="s">
        <v>447</v>
      </c>
      <c r="I233" s="212">
        <v>265.0</v>
      </c>
      <c r="J233" s="220" t="s">
        <v>1132</v>
      </c>
      <c r="K233" s="34"/>
      <c r="L233" s="34"/>
      <c r="M233" s="34"/>
      <c r="N233" s="34"/>
      <c r="O233" s="34"/>
      <c r="P233" s="34"/>
      <c r="Q233" s="34"/>
      <c r="R233" s="217"/>
      <c r="S233" s="217"/>
    </row>
    <row r="234">
      <c r="A234" s="217"/>
      <c r="B234" s="217"/>
      <c r="C234" s="228" t="s">
        <v>1094</v>
      </c>
      <c r="D234" s="228" t="s">
        <v>270</v>
      </c>
      <c r="E234" s="217"/>
      <c r="F234" s="217"/>
      <c r="G234" s="34"/>
      <c r="H234" s="211" t="s">
        <v>684</v>
      </c>
      <c r="I234" s="212">
        <v>318.0</v>
      </c>
      <c r="J234" s="220" t="s">
        <v>1133</v>
      </c>
      <c r="K234" s="34"/>
      <c r="L234" s="34"/>
      <c r="M234" s="34"/>
      <c r="N234" s="34"/>
      <c r="O234" s="34"/>
      <c r="P234" s="34"/>
      <c r="Q234" s="34"/>
      <c r="R234" s="217"/>
      <c r="S234" s="217"/>
    </row>
    <row r="235">
      <c r="A235" s="217"/>
      <c r="B235" s="217"/>
      <c r="C235" s="228" t="s">
        <v>1134</v>
      </c>
      <c r="D235" s="228" t="s">
        <v>1135</v>
      </c>
      <c r="E235" s="217"/>
      <c r="F235" s="217"/>
      <c r="G235" s="34"/>
      <c r="H235" s="211" t="s">
        <v>421</v>
      </c>
      <c r="I235" s="212">
        <v>22.0</v>
      </c>
      <c r="J235" s="220" t="s">
        <v>1136</v>
      </c>
      <c r="K235" s="34"/>
      <c r="L235" s="34"/>
      <c r="M235" s="34"/>
      <c r="N235" s="34"/>
      <c r="O235" s="34"/>
      <c r="P235" s="34"/>
      <c r="Q235" s="34"/>
      <c r="R235" s="217"/>
      <c r="S235" s="217"/>
    </row>
    <row r="236">
      <c r="A236" s="217"/>
      <c r="B236" s="217"/>
      <c r="C236" s="228" t="s">
        <v>1137</v>
      </c>
      <c r="D236" s="228" t="s">
        <v>270</v>
      </c>
      <c r="E236" s="217"/>
      <c r="F236" s="217"/>
      <c r="G236" s="34"/>
      <c r="H236" s="211" t="s">
        <v>763</v>
      </c>
      <c r="I236" s="212">
        <v>149.0</v>
      </c>
      <c r="J236" s="220" t="s">
        <v>1138</v>
      </c>
      <c r="K236" s="34"/>
      <c r="L236" s="34"/>
      <c r="M236" s="34"/>
      <c r="N236" s="34"/>
      <c r="O236" s="34"/>
      <c r="P236" s="34"/>
      <c r="Q236" s="34"/>
      <c r="R236" s="217"/>
      <c r="S236" s="217"/>
    </row>
    <row r="237">
      <c r="A237" s="217"/>
      <c r="B237" s="217"/>
      <c r="C237" s="228" t="s">
        <v>1139</v>
      </c>
      <c r="D237" s="228" t="s">
        <v>1140</v>
      </c>
      <c r="E237" s="217"/>
      <c r="F237" s="217"/>
      <c r="G237" s="34"/>
      <c r="H237" s="211" t="s">
        <v>1141</v>
      </c>
      <c r="I237" s="212">
        <v>46.0</v>
      </c>
      <c r="J237" s="220" t="s">
        <v>1142</v>
      </c>
      <c r="K237" s="34"/>
      <c r="L237" s="34"/>
      <c r="M237" s="34"/>
      <c r="N237" s="34"/>
      <c r="O237" s="34"/>
      <c r="P237" s="34"/>
      <c r="Q237" s="34"/>
      <c r="R237" s="217"/>
      <c r="S237" s="217"/>
    </row>
    <row r="238">
      <c r="A238" s="217"/>
      <c r="B238" s="217"/>
      <c r="C238" s="228" t="s">
        <v>459</v>
      </c>
      <c r="D238" s="228" t="s">
        <v>270</v>
      </c>
      <c r="E238" s="217"/>
      <c r="F238" s="217"/>
      <c r="G238" s="34"/>
      <c r="H238" s="211" t="s">
        <v>680</v>
      </c>
      <c r="I238" s="212">
        <v>342.0</v>
      </c>
      <c r="J238" s="220" t="s">
        <v>1143</v>
      </c>
      <c r="K238" s="34"/>
      <c r="L238" s="34"/>
      <c r="M238" s="34"/>
      <c r="N238" s="34"/>
      <c r="O238" s="34"/>
      <c r="P238" s="34"/>
      <c r="Q238" s="34"/>
      <c r="R238" s="217"/>
      <c r="S238" s="217"/>
    </row>
    <row r="239">
      <c r="A239" s="217"/>
      <c r="B239" s="217"/>
      <c r="C239" s="228" t="s">
        <v>1144</v>
      </c>
      <c r="D239" s="228" t="s">
        <v>270</v>
      </c>
      <c r="E239" s="217"/>
      <c r="F239" s="217"/>
      <c r="G239" s="34"/>
      <c r="H239" s="211" t="s">
        <v>428</v>
      </c>
      <c r="I239" s="212">
        <v>47.0</v>
      </c>
      <c r="J239" s="220" t="s">
        <v>1145</v>
      </c>
      <c r="K239" s="34"/>
      <c r="L239" s="34"/>
      <c r="M239" s="34"/>
      <c r="N239" s="34"/>
      <c r="O239" s="34"/>
      <c r="P239" s="34"/>
      <c r="Q239" s="34"/>
      <c r="R239" s="217"/>
      <c r="S239" s="217"/>
    </row>
    <row r="240">
      <c r="A240" s="217"/>
      <c r="B240" s="217"/>
      <c r="C240" s="228" t="s">
        <v>465</v>
      </c>
      <c r="D240" s="228" t="s">
        <v>1146</v>
      </c>
      <c r="E240" s="217"/>
      <c r="F240" s="217"/>
      <c r="G240" s="34"/>
      <c r="H240" s="211" t="s">
        <v>315</v>
      </c>
      <c r="I240" s="212">
        <v>232.0</v>
      </c>
      <c r="J240" s="220" t="s">
        <v>1147</v>
      </c>
      <c r="K240" s="34"/>
      <c r="L240" s="34"/>
      <c r="M240" s="34"/>
      <c r="N240" s="34"/>
      <c r="O240" s="34"/>
      <c r="P240" s="34"/>
      <c r="Q240" s="34"/>
      <c r="R240" s="217"/>
      <c r="S240" s="217"/>
    </row>
    <row r="241">
      <c r="A241" s="217"/>
      <c r="B241" s="217"/>
      <c r="C241" s="228" t="s">
        <v>1148</v>
      </c>
      <c r="D241" s="228" t="s">
        <v>270</v>
      </c>
      <c r="E241" s="217"/>
      <c r="F241" s="217"/>
      <c r="G241" s="34"/>
      <c r="H241" s="211" t="s">
        <v>881</v>
      </c>
      <c r="I241" s="212">
        <v>68.0</v>
      </c>
      <c r="J241" s="220" t="s">
        <v>1149</v>
      </c>
      <c r="K241" s="34"/>
      <c r="L241" s="34"/>
      <c r="M241" s="34"/>
      <c r="N241" s="34"/>
      <c r="O241" s="34"/>
      <c r="P241" s="34"/>
      <c r="Q241" s="34"/>
      <c r="R241" s="217"/>
      <c r="S241" s="217"/>
    </row>
    <row r="242">
      <c r="A242" s="217"/>
      <c r="B242" s="217"/>
      <c r="C242" s="228" t="s">
        <v>1150</v>
      </c>
      <c r="D242" s="228" t="s">
        <v>270</v>
      </c>
      <c r="E242" s="217"/>
      <c r="F242" s="217"/>
      <c r="G242" s="34"/>
      <c r="H242" s="211" t="s">
        <v>1151</v>
      </c>
      <c r="I242" s="212">
        <v>572.0</v>
      </c>
      <c r="J242" s="220" t="s">
        <v>1152</v>
      </c>
      <c r="K242" s="34"/>
      <c r="L242" s="34"/>
      <c r="M242" s="34"/>
      <c r="N242" s="34"/>
      <c r="O242" s="34"/>
      <c r="P242" s="34"/>
      <c r="Q242" s="34"/>
      <c r="R242" s="217"/>
      <c r="S242" s="217"/>
    </row>
    <row r="243">
      <c r="A243" s="217"/>
      <c r="B243" s="217"/>
      <c r="C243" s="228" t="s">
        <v>1153</v>
      </c>
      <c r="D243" s="228" t="s">
        <v>1154</v>
      </c>
      <c r="E243" s="217"/>
      <c r="F243" s="217"/>
      <c r="G243" s="34"/>
      <c r="H243" s="211" t="s">
        <v>1155</v>
      </c>
      <c r="I243" s="212">
        <v>574.0</v>
      </c>
      <c r="J243" s="220" t="s">
        <v>1156</v>
      </c>
      <c r="K243" s="34"/>
      <c r="L243" s="34"/>
      <c r="M243" s="34"/>
      <c r="N243" s="34"/>
      <c r="O243" s="34"/>
      <c r="P243" s="34"/>
      <c r="Q243" s="34"/>
      <c r="R243" s="217"/>
      <c r="S243" s="217"/>
    </row>
    <row r="244">
      <c r="A244" s="217"/>
      <c r="B244" s="217"/>
      <c r="C244" s="228" t="s">
        <v>1157</v>
      </c>
      <c r="D244" s="228" t="s">
        <v>1158</v>
      </c>
      <c r="E244" s="217"/>
      <c r="F244" s="217"/>
      <c r="G244" s="34"/>
      <c r="H244" s="211" t="s">
        <v>1159</v>
      </c>
      <c r="I244" s="212">
        <v>562.0</v>
      </c>
      <c r="J244" s="220" t="s">
        <v>1160</v>
      </c>
      <c r="K244" s="34"/>
      <c r="L244" s="34"/>
      <c r="M244" s="34"/>
      <c r="N244" s="34"/>
      <c r="O244" s="34"/>
      <c r="P244" s="34"/>
      <c r="Q244" s="34"/>
      <c r="R244" s="217"/>
      <c r="S244" s="217"/>
    </row>
    <row r="245">
      <c r="A245" s="217"/>
      <c r="B245" s="217"/>
      <c r="C245" s="228" t="s">
        <v>1161</v>
      </c>
      <c r="D245" s="228" t="s">
        <v>270</v>
      </c>
      <c r="E245" s="217"/>
      <c r="F245" s="217"/>
      <c r="G245" s="34"/>
      <c r="H245" s="211" t="s">
        <v>1162</v>
      </c>
      <c r="I245" s="212">
        <v>582.0</v>
      </c>
      <c r="J245" s="220" t="s">
        <v>1163</v>
      </c>
      <c r="K245" s="34"/>
      <c r="L245" s="34"/>
      <c r="M245" s="34"/>
      <c r="N245" s="34"/>
      <c r="O245" s="34"/>
      <c r="P245" s="34"/>
      <c r="Q245" s="34"/>
      <c r="R245" s="217"/>
      <c r="S245" s="217"/>
    </row>
    <row r="246">
      <c r="A246" s="217"/>
      <c r="B246" s="217"/>
      <c r="C246" s="228" t="s">
        <v>1164</v>
      </c>
      <c r="D246" s="228" t="s">
        <v>270</v>
      </c>
      <c r="E246" s="217"/>
      <c r="F246" s="217"/>
      <c r="G246" s="34"/>
      <c r="H246" s="211" t="s">
        <v>1165</v>
      </c>
      <c r="I246" s="212">
        <v>563.0</v>
      </c>
      <c r="J246" s="220" t="s">
        <v>1166</v>
      </c>
      <c r="K246" s="34"/>
      <c r="L246" s="34"/>
      <c r="M246" s="34"/>
      <c r="N246" s="34"/>
      <c r="O246" s="34"/>
      <c r="P246" s="34"/>
      <c r="Q246" s="34"/>
      <c r="R246" s="217"/>
      <c r="S246" s="217"/>
    </row>
    <row r="247">
      <c r="A247" s="217"/>
      <c r="B247" s="217"/>
      <c r="C247" s="228" t="s">
        <v>1167</v>
      </c>
      <c r="D247" s="228" t="s">
        <v>270</v>
      </c>
      <c r="E247" s="217"/>
      <c r="F247" s="217"/>
      <c r="G247" s="34"/>
      <c r="H247" s="211" t="s">
        <v>1168</v>
      </c>
      <c r="I247" s="212">
        <v>591.0</v>
      </c>
      <c r="J247" s="220" t="s">
        <v>1169</v>
      </c>
      <c r="K247" s="34"/>
      <c r="L247" s="34"/>
      <c r="M247" s="34"/>
      <c r="N247" s="34"/>
      <c r="O247" s="34"/>
      <c r="P247" s="34"/>
      <c r="Q247" s="34"/>
      <c r="R247" s="217"/>
      <c r="S247" s="217"/>
    </row>
    <row r="248">
      <c r="A248" s="217"/>
      <c r="B248" s="217"/>
      <c r="C248" s="228" t="s">
        <v>1170</v>
      </c>
      <c r="D248" s="228" t="s">
        <v>270</v>
      </c>
      <c r="E248" s="217"/>
      <c r="F248" s="217"/>
      <c r="G248" s="34"/>
      <c r="H248" s="211" t="s">
        <v>1171</v>
      </c>
      <c r="I248" s="212">
        <v>416.0</v>
      </c>
      <c r="J248" s="220" t="s">
        <v>1172</v>
      </c>
      <c r="K248" s="34"/>
      <c r="L248" s="34"/>
      <c r="M248" s="34"/>
      <c r="N248" s="34"/>
      <c r="O248" s="34"/>
      <c r="P248" s="34"/>
      <c r="Q248" s="34"/>
      <c r="R248" s="217"/>
      <c r="S248" s="217"/>
    </row>
    <row r="249">
      <c r="A249" s="217"/>
      <c r="B249" s="217"/>
      <c r="C249" s="228" t="s">
        <v>1173</v>
      </c>
      <c r="D249" s="228" t="s">
        <v>270</v>
      </c>
      <c r="E249" s="217"/>
      <c r="F249" s="217"/>
      <c r="G249" s="34"/>
      <c r="H249" s="211" t="s">
        <v>689</v>
      </c>
      <c r="I249" s="212">
        <v>319.0</v>
      </c>
      <c r="J249" s="220" t="s">
        <v>1174</v>
      </c>
      <c r="K249" s="34"/>
      <c r="L249" s="34"/>
      <c r="M249" s="34"/>
      <c r="N249" s="34"/>
      <c r="O249" s="34"/>
      <c r="P249" s="34"/>
      <c r="Q249" s="34"/>
      <c r="R249" s="217"/>
      <c r="S249" s="217"/>
    </row>
    <row r="250">
      <c r="A250" s="217"/>
      <c r="B250" s="217"/>
      <c r="C250" s="228" t="s">
        <v>1175</v>
      </c>
      <c r="D250" s="228" t="s">
        <v>270</v>
      </c>
      <c r="E250" s="217"/>
      <c r="F250" s="217"/>
      <c r="G250" s="34"/>
      <c r="H250" s="211" t="s">
        <v>434</v>
      </c>
      <c r="I250" s="212">
        <v>48.0</v>
      </c>
      <c r="J250" s="220" t="s">
        <v>1176</v>
      </c>
      <c r="K250" s="34"/>
      <c r="L250" s="34"/>
      <c r="M250" s="34"/>
      <c r="N250" s="34"/>
      <c r="O250" s="34"/>
      <c r="P250" s="34"/>
      <c r="Q250" s="34"/>
      <c r="R250" s="217"/>
      <c r="S250" s="217"/>
    </row>
    <row r="251">
      <c r="A251" s="217"/>
      <c r="B251" s="217"/>
      <c r="C251" s="228" t="s">
        <v>358</v>
      </c>
      <c r="D251" s="228" t="s">
        <v>1177</v>
      </c>
      <c r="E251" s="217"/>
      <c r="F251" s="217"/>
      <c r="G251" s="34"/>
      <c r="H251" s="211" t="s">
        <v>1178</v>
      </c>
      <c r="I251" s="212">
        <v>209.0</v>
      </c>
      <c r="J251" s="220" t="s">
        <v>1179</v>
      </c>
      <c r="K251" s="34"/>
      <c r="L251" s="34"/>
      <c r="M251" s="34"/>
      <c r="N251" s="34"/>
      <c r="O251" s="34"/>
      <c r="P251" s="34"/>
      <c r="Q251" s="34"/>
      <c r="R251" s="217"/>
      <c r="S251" s="217"/>
    </row>
    <row r="252">
      <c r="A252" s="217"/>
      <c r="B252" s="217"/>
      <c r="C252" s="228" t="s">
        <v>392</v>
      </c>
      <c r="D252" s="228" t="s">
        <v>270</v>
      </c>
      <c r="E252" s="217"/>
      <c r="F252" s="217"/>
      <c r="G252" s="34"/>
      <c r="H252" s="211" t="s">
        <v>1180</v>
      </c>
      <c r="I252" s="212">
        <v>210.0</v>
      </c>
      <c r="J252" s="220" t="s">
        <v>1181</v>
      </c>
      <c r="K252" s="34"/>
      <c r="L252" s="34"/>
      <c r="M252" s="34"/>
      <c r="N252" s="34"/>
      <c r="O252" s="34"/>
      <c r="P252" s="34"/>
      <c r="Q252" s="34"/>
      <c r="R252" s="217"/>
      <c r="S252" s="217"/>
    </row>
    <row r="253">
      <c r="A253" s="217"/>
      <c r="B253" s="217"/>
      <c r="C253" s="228" t="s">
        <v>525</v>
      </c>
      <c r="D253" s="228" t="s">
        <v>270</v>
      </c>
      <c r="E253" s="217"/>
      <c r="F253" s="217"/>
      <c r="G253" s="34"/>
      <c r="H253" s="211" t="s">
        <v>1182</v>
      </c>
      <c r="I253" s="212">
        <v>211.0</v>
      </c>
      <c r="J253" s="220" t="s">
        <v>1183</v>
      </c>
      <c r="K253" s="34"/>
      <c r="L253" s="34"/>
      <c r="M253" s="34"/>
      <c r="N253" s="34"/>
      <c r="O253" s="34"/>
      <c r="P253" s="34"/>
      <c r="Q253" s="34"/>
      <c r="R253" s="217"/>
      <c r="S253" s="217"/>
    </row>
    <row r="254">
      <c r="A254" s="217"/>
      <c r="B254" s="217"/>
      <c r="C254" s="228" t="s">
        <v>783</v>
      </c>
      <c r="D254" s="228" t="s">
        <v>270</v>
      </c>
      <c r="E254" s="217"/>
      <c r="F254" s="217"/>
      <c r="G254" s="34"/>
      <c r="H254" s="211" t="s">
        <v>1184</v>
      </c>
      <c r="I254" s="212">
        <v>212.0</v>
      </c>
      <c r="J254" s="220" t="s">
        <v>1185</v>
      </c>
      <c r="K254" s="34"/>
      <c r="L254" s="34"/>
      <c r="M254" s="34"/>
      <c r="N254" s="34"/>
      <c r="O254" s="34"/>
      <c r="P254" s="34"/>
      <c r="Q254" s="34"/>
      <c r="R254" s="217"/>
      <c r="S254" s="217"/>
    </row>
    <row r="255">
      <c r="A255" s="217"/>
      <c r="B255" s="217"/>
      <c r="C255" s="228" t="s">
        <v>795</v>
      </c>
      <c r="D255" s="228" t="s">
        <v>1186</v>
      </c>
      <c r="E255" s="217"/>
      <c r="F255" s="217"/>
      <c r="G255" s="34"/>
      <c r="H255" s="211" t="s">
        <v>1187</v>
      </c>
      <c r="I255" s="212">
        <v>208.0</v>
      </c>
      <c r="J255" s="220" t="s">
        <v>1188</v>
      </c>
      <c r="K255" s="34"/>
      <c r="L255" s="34"/>
      <c r="M255" s="34"/>
      <c r="N255" s="34"/>
      <c r="O255" s="34"/>
      <c r="P255" s="34"/>
      <c r="Q255" s="34"/>
      <c r="R255" s="217"/>
      <c r="S255" s="217"/>
    </row>
    <row r="256">
      <c r="A256" s="217"/>
      <c r="B256" s="217"/>
      <c r="C256" s="228" t="s">
        <v>840</v>
      </c>
      <c r="D256" s="228" t="s">
        <v>270</v>
      </c>
      <c r="E256" s="217"/>
      <c r="F256" s="217"/>
      <c r="G256" s="34"/>
      <c r="H256" s="211" t="s">
        <v>1189</v>
      </c>
      <c r="I256" s="212">
        <v>417.0</v>
      </c>
      <c r="J256" s="220" t="s">
        <v>1190</v>
      </c>
      <c r="K256" s="34"/>
      <c r="L256" s="34"/>
      <c r="M256" s="34"/>
      <c r="N256" s="34"/>
      <c r="O256" s="34"/>
      <c r="P256" s="34"/>
      <c r="Q256" s="34"/>
      <c r="R256" s="217"/>
      <c r="S256" s="217"/>
    </row>
    <row r="257">
      <c r="A257" s="217"/>
      <c r="B257" s="217"/>
      <c r="C257" s="228" t="s">
        <v>1085</v>
      </c>
      <c r="D257" s="228" t="s">
        <v>270</v>
      </c>
      <c r="E257" s="217"/>
      <c r="F257" s="217"/>
      <c r="G257" s="34"/>
      <c r="H257" s="211" t="s">
        <v>1191</v>
      </c>
      <c r="I257" s="212">
        <v>418.0</v>
      </c>
      <c r="J257" s="220" t="s">
        <v>1192</v>
      </c>
      <c r="K257" s="34"/>
      <c r="L257" s="34"/>
      <c r="M257" s="34"/>
      <c r="N257" s="34"/>
      <c r="O257" s="34"/>
      <c r="P257" s="34"/>
      <c r="Q257" s="34"/>
      <c r="R257" s="217"/>
      <c r="S257" s="217"/>
    </row>
    <row r="258">
      <c r="A258" s="217"/>
      <c r="B258" s="217"/>
      <c r="C258" s="228" t="s">
        <v>1193</v>
      </c>
      <c r="D258" s="228" t="s">
        <v>1194</v>
      </c>
      <c r="E258" s="217"/>
      <c r="F258" s="217"/>
      <c r="G258" s="34"/>
      <c r="H258" s="211" t="s">
        <v>439</v>
      </c>
      <c r="I258" s="212">
        <v>18.0</v>
      </c>
      <c r="J258" s="220" t="s">
        <v>1195</v>
      </c>
      <c r="K258" s="34"/>
      <c r="L258" s="34"/>
      <c r="M258" s="34"/>
      <c r="N258" s="34"/>
      <c r="O258" s="34"/>
      <c r="P258" s="34"/>
      <c r="Q258" s="34"/>
      <c r="R258" s="217"/>
      <c r="S258" s="217"/>
    </row>
    <row r="259">
      <c r="A259" s="217"/>
      <c r="B259" s="217"/>
      <c r="C259" s="228" t="s">
        <v>1196</v>
      </c>
      <c r="D259" s="228" t="s">
        <v>270</v>
      </c>
      <c r="E259" s="217"/>
      <c r="F259" s="217"/>
      <c r="G259" s="34"/>
      <c r="H259" s="211" t="s">
        <v>786</v>
      </c>
      <c r="I259" s="212">
        <v>219.0</v>
      </c>
      <c r="J259" s="220" t="s">
        <v>1197</v>
      </c>
      <c r="K259" s="34"/>
      <c r="L259" s="34"/>
      <c r="M259" s="34"/>
      <c r="N259" s="34"/>
      <c r="O259" s="34"/>
      <c r="P259" s="34"/>
      <c r="Q259" s="34"/>
      <c r="R259" s="217"/>
      <c r="S259" s="217"/>
    </row>
    <row r="260">
      <c r="A260" s="217"/>
      <c r="B260" s="217"/>
      <c r="C260" s="228" t="s">
        <v>1198</v>
      </c>
      <c r="D260" s="228" t="s">
        <v>270</v>
      </c>
      <c r="E260" s="217"/>
      <c r="F260" s="217"/>
      <c r="G260" s="34"/>
      <c r="H260" s="211" t="s">
        <v>786</v>
      </c>
      <c r="I260" s="212">
        <v>538.0</v>
      </c>
      <c r="J260" s="220" t="s">
        <v>1199</v>
      </c>
      <c r="K260" s="34"/>
      <c r="L260" s="34"/>
      <c r="M260" s="34"/>
      <c r="N260" s="34"/>
      <c r="O260" s="34"/>
      <c r="P260" s="34"/>
      <c r="Q260" s="34"/>
      <c r="R260" s="217"/>
      <c r="S260" s="217"/>
    </row>
    <row r="261">
      <c r="A261" s="217"/>
      <c r="B261" s="217"/>
      <c r="C261" s="228" t="s">
        <v>1200</v>
      </c>
      <c r="D261" s="228" t="s">
        <v>270</v>
      </c>
      <c r="E261" s="217"/>
      <c r="F261" s="217"/>
      <c r="G261" s="34"/>
      <c r="H261" s="211" t="s">
        <v>1201</v>
      </c>
      <c r="I261" s="212">
        <v>165.0</v>
      </c>
      <c r="J261" s="220" t="s">
        <v>1202</v>
      </c>
      <c r="K261" s="34"/>
      <c r="L261" s="34"/>
      <c r="M261" s="34"/>
      <c r="N261" s="34"/>
      <c r="O261" s="34"/>
      <c r="P261" s="34"/>
      <c r="Q261" s="34"/>
      <c r="R261" s="217"/>
      <c r="S261" s="217"/>
    </row>
    <row r="262">
      <c r="A262" s="217"/>
      <c r="B262" s="217"/>
      <c r="C262" s="228" t="s">
        <v>1203</v>
      </c>
      <c r="D262" s="228" t="s">
        <v>1204</v>
      </c>
      <c r="E262" s="217"/>
      <c r="F262" s="217"/>
      <c r="G262" s="34"/>
      <c r="H262" s="211" t="s">
        <v>1205</v>
      </c>
      <c r="I262" s="212">
        <v>564.0</v>
      </c>
      <c r="J262" s="220" t="s">
        <v>1206</v>
      </c>
      <c r="K262" s="34"/>
      <c r="L262" s="34"/>
      <c r="M262" s="34"/>
      <c r="N262" s="34"/>
      <c r="O262" s="34"/>
      <c r="P262" s="34"/>
      <c r="Q262" s="34"/>
      <c r="R262" s="217"/>
      <c r="S262" s="217"/>
    </row>
    <row r="263">
      <c r="A263" s="217"/>
      <c r="B263" s="217"/>
      <c r="C263" s="228" t="s">
        <v>368</v>
      </c>
      <c r="D263" s="228" t="s">
        <v>270</v>
      </c>
      <c r="E263" s="217"/>
      <c r="F263" s="217"/>
      <c r="G263" s="34"/>
      <c r="H263" s="211" t="s">
        <v>1207</v>
      </c>
      <c r="I263" s="212">
        <v>569.0</v>
      </c>
      <c r="J263" s="220" t="s">
        <v>1208</v>
      </c>
      <c r="K263" s="34"/>
      <c r="L263" s="34"/>
      <c r="M263" s="34"/>
      <c r="N263" s="34"/>
      <c r="O263" s="34"/>
      <c r="P263" s="34"/>
      <c r="Q263" s="34"/>
      <c r="R263" s="217"/>
      <c r="S263" s="217"/>
    </row>
    <row r="264">
      <c r="A264" s="217"/>
      <c r="B264" s="217"/>
      <c r="C264" s="228" t="s">
        <v>873</v>
      </c>
      <c r="D264" s="228" t="s">
        <v>1209</v>
      </c>
      <c r="E264" s="217"/>
      <c r="F264" s="217"/>
      <c r="G264" s="34"/>
      <c r="H264" s="211" t="s">
        <v>1210</v>
      </c>
      <c r="I264" s="212">
        <v>575.0</v>
      </c>
      <c r="J264" s="220" t="s">
        <v>1211</v>
      </c>
      <c r="K264" s="34"/>
      <c r="L264" s="34"/>
      <c r="M264" s="34"/>
      <c r="N264" s="34"/>
      <c r="O264" s="34"/>
      <c r="P264" s="34"/>
      <c r="Q264" s="34"/>
      <c r="R264" s="217"/>
      <c r="S264" s="217"/>
    </row>
    <row r="265">
      <c r="A265" s="217"/>
      <c r="B265" s="217"/>
      <c r="C265" s="228" t="s">
        <v>901</v>
      </c>
      <c r="D265" s="228" t="s">
        <v>1212</v>
      </c>
      <c r="E265" s="217"/>
      <c r="F265" s="217"/>
      <c r="G265" s="34"/>
      <c r="H265" s="211" t="s">
        <v>1213</v>
      </c>
      <c r="I265" s="212">
        <v>583.0</v>
      </c>
      <c r="J265" s="220" t="s">
        <v>1214</v>
      </c>
      <c r="K265" s="34"/>
      <c r="L265" s="34"/>
      <c r="M265" s="34"/>
      <c r="N265" s="34"/>
      <c r="O265" s="34"/>
      <c r="P265" s="34"/>
      <c r="Q265" s="34"/>
      <c r="R265" s="217"/>
      <c r="S265" s="217"/>
    </row>
    <row r="266">
      <c r="A266" s="217"/>
      <c r="B266" s="217"/>
      <c r="C266" s="228" t="s">
        <v>1001</v>
      </c>
      <c r="D266" s="228" t="s">
        <v>1215</v>
      </c>
      <c r="E266" s="217"/>
      <c r="F266" s="217"/>
      <c r="G266" s="34"/>
      <c r="H266" s="211" t="s">
        <v>1216</v>
      </c>
      <c r="I266" s="212">
        <v>152.0</v>
      </c>
      <c r="J266" s="220" t="s">
        <v>1217</v>
      </c>
      <c r="K266" s="34"/>
      <c r="L266" s="34"/>
      <c r="M266" s="34"/>
      <c r="N266" s="34"/>
      <c r="O266" s="34"/>
      <c r="P266" s="34"/>
      <c r="Q266" s="34"/>
      <c r="R266" s="217"/>
      <c r="S266" s="217"/>
    </row>
    <row r="267">
      <c r="A267" s="217"/>
      <c r="B267" s="217"/>
      <c r="C267" s="228" t="s">
        <v>1065</v>
      </c>
      <c r="D267" s="228" t="s">
        <v>270</v>
      </c>
      <c r="E267" s="217"/>
      <c r="F267" s="217"/>
      <c r="G267" s="34"/>
      <c r="H267" s="211" t="s">
        <v>549</v>
      </c>
      <c r="I267" s="212">
        <v>543.0</v>
      </c>
      <c r="J267" s="220" t="s">
        <v>1218</v>
      </c>
      <c r="K267" s="34"/>
      <c r="L267" s="34"/>
      <c r="M267" s="34"/>
      <c r="N267" s="34"/>
      <c r="O267" s="34"/>
      <c r="P267" s="34"/>
      <c r="Q267" s="34"/>
      <c r="R267" s="217"/>
      <c r="S267" s="217"/>
    </row>
    <row r="268">
      <c r="A268" s="217"/>
      <c r="B268" s="217"/>
      <c r="C268" s="228" t="s">
        <v>1080</v>
      </c>
      <c r="D268" s="228" t="s">
        <v>1219</v>
      </c>
      <c r="E268" s="217"/>
      <c r="F268" s="217"/>
      <c r="G268" s="34"/>
      <c r="H268" s="211" t="s">
        <v>937</v>
      </c>
      <c r="I268" s="212">
        <v>87.0</v>
      </c>
      <c r="J268" s="220" t="s">
        <v>1220</v>
      </c>
      <c r="K268" s="34"/>
      <c r="L268" s="34"/>
      <c r="M268" s="34"/>
      <c r="N268" s="34"/>
      <c r="O268" s="34"/>
      <c r="P268" s="34"/>
      <c r="Q268" s="34"/>
      <c r="R268" s="217"/>
      <c r="S268" s="217"/>
    </row>
    <row r="269">
      <c r="A269" s="217"/>
      <c r="B269" s="217"/>
      <c r="C269" s="228" t="s">
        <v>1201</v>
      </c>
      <c r="D269" s="228" t="s">
        <v>1221</v>
      </c>
      <c r="E269" s="217"/>
      <c r="F269" s="217"/>
      <c r="G269" s="34"/>
      <c r="H269" s="211" t="s">
        <v>1042</v>
      </c>
      <c r="I269" s="212">
        <v>83.0</v>
      </c>
      <c r="J269" s="220" t="s">
        <v>1222</v>
      </c>
      <c r="K269" s="34"/>
      <c r="L269" s="34"/>
      <c r="M269" s="34"/>
      <c r="N269" s="34"/>
      <c r="O269" s="34"/>
      <c r="P269" s="34"/>
      <c r="Q269" s="34"/>
      <c r="R269" s="217"/>
      <c r="S269" s="217"/>
    </row>
    <row r="270">
      <c r="A270" s="217"/>
      <c r="B270" s="217"/>
      <c r="C270" s="228" t="s">
        <v>1223</v>
      </c>
      <c r="D270" s="228" t="s">
        <v>1224</v>
      </c>
      <c r="E270" s="217"/>
      <c r="F270" s="217"/>
      <c r="G270" s="34"/>
      <c r="H270" s="211" t="s">
        <v>1225</v>
      </c>
      <c r="I270" s="212">
        <v>567.0</v>
      </c>
      <c r="J270" s="220" t="s">
        <v>1226</v>
      </c>
      <c r="K270" s="34"/>
      <c r="L270" s="34"/>
      <c r="M270" s="34"/>
      <c r="N270" s="34"/>
      <c r="O270" s="34"/>
      <c r="P270" s="34"/>
      <c r="Q270" s="34"/>
      <c r="R270" s="217"/>
      <c r="S270" s="217"/>
    </row>
    <row r="271">
      <c r="A271" s="217"/>
      <c r="B271" s="217"/>
      <c r="C271" s="228" t="s">
        <v>1227</v>
      </c>
      <c r="D271" s="228" t="s">
        <v>1228</v>
      </c>
      <c r="E271" s="217"/>
      <c r="F271" s="217"/>
      <c r="G271" s="34"/>
      <c r="H271" s="211" t="s">
        <v>1229</v>
      </c>
      <c r="I271" s="212">
        <v>570.0</v>
      </c>
      <c r="J271" s="220" t="s">
        <v>1230</v>
      </c>
      <c r="K271" s="34"/>
      <c r="L271" s="34"/>
      <c r="M271" s="34"/>
      <c r="N271" s="34"/>
      <c r="O271" s="34"/>
      <c r="P271" s="34"/>
      <c r="Q271" s="34"/>
      <c r="R271" s="217"/>
      <c r="S271" s="217"/>
    </row>
    <row r="272">
      <c r="A272" s="217"/>
      <c r="B272" s="217"/>
      <c r="C272" s="228" t="s">
        <v>1231</v>
      </c>
      <c r="D272" s="228" t="s">
        <v>270</v>
      </c>
      <c r="E272" s="217"/>
      <c r="F272" s="217"/>
      <c r="G272" s="34"/>
      <c r="H272" s="211" t="s">
        <v>1232</v>
      </c>
      <c r="I272" s="212">
        <v>576.0</v>
      </c>
      <c r="J272" s="220" t="s">
        <v>1233</v>
      </c>
      <c r="K272" s="34"/>
      <c r="L272" s="34"/>
      <c r="M272" s="34"/>
      <c r="N272" s="34"/>
      <c r="O272" s="34"/>
      <c r="P272" s="34"/>
      <c r="Q272" s="34"/>
      <c r="R272" s="217"/>
      <c r="S272" s="217"/>
    </row>
    <row r="273">
      <c r="A273" s="217"/>
      <c r="B273" s="217"/>
      <c r="C273" s="228" t="s">
        <v>1234</v>
      </c>
      <c r="D273" s="228" t="s">
        <v>270</v>
      </c>
      <c r="E273" s="217"/>
      <c r="F273" s="217"/>
      <c r="G273" s="34"/>
      <c r="H273" s="211" t="s">
        <v>1235</v>
      </c>
      <c r="I273" s="212">
        <v>584.0</v>
      </c>
      <c r="J273" s="220" t="s">
        <v>1236</v>
      </c>
      <c r="K273" s="34"/>
      <c r="L273" s="34"/>
      <c r="M273" s="34"/>
      <c r="N273" s="34"/>
      <c r="O273" s="34"/>
      <c r="P273" s="34"/>
      <c r="Q273" s="34"/>
      <c r="R273" s="217"/>
      <c r="S273" s="217"/>
    </row>
    <row r="274">
      <c r="A274" s="217"/>
      <c r="B274" s="217"/>
      <c r="C274" s="228" t="s">
        <v>1237</v>
      </c>
      <c r="D274" s="228" t="s">
        <v>1238</v>
      </c>
      <c r="E274" s="217"/>
      <c r="F274" s="217"/>
      <c r="G274" s="34"/>
      <c r="H274" s="211" t="s">
        <v>1239</v>
      </c>
      <c r="I274" s="212">
        <v>566.0</v>
      </c>
      <c r="J274" s="220" t="s">
        <v>1240</v>
      </c>
      <c r="K274" s="34"/>
      <c r="L274" s="34"/>
      <c r="M274" s="34"/>
      <c r="N274" s="34"/>
      <c r="O274" s="34"/>
      <c r="P274" s="34"/>
      <c r="Q274" s="34"/>
      <c r="R274" s="217"/>
      <c r="S274" s="217"/>
    </row>
    <row r="275">
      <c r="A275" s="217"/>
      <c r="B275" s="217"/>
      <c r="C275" s="228" t="s">
        <v>1241</v>
      </c>
      <c r="D275" s="228" t="s">
        <v>1242</v>
      </c>
      <c r="E275" s="217"/>
      <c r="F275" s="217"/>
      <c r="G275" s="34"/>
      <c r="H275" s="211" t="s">
        <v>921</v>
      </c>
      <c r="I275" s="212">
        <v>204.0</v>
      </c>
      <c r="J275" s="220" t="s">
        <v>1243</v>
      </c>
      <c r="K275" s="34"/>
      <c r="L275" s="34"/>
      <c r="M275" s="34"/>
      <c r="N275" s="34"/>
      <c r="O275" s="34"/>
      <c r="P275" s="34"/>
      <c r="Q275" s="34"/>
      <c r="R275" s="217"/>
      <c r="S275" s="217"/>
    </row>
    <row r="276">
      <c r="A276" s="217"/>
      <c r="B276" s="217"/>
      <c r="C276" s="228" t="s">
        <v>542</v>
      </c>
      <c r="D276" s="228" t="s">
        <v>270</v>
      </c>
      <c r="E276" s="217"/>
      <c r="F276" s="217"/>
      <c r="G276" s="34"/>
      <c r="H276" s="211" t="s">
        <v>785</v>
      </c>
      <c r="I276" s="212">
        <v>343.0</v>
      </c>
      <c r="J276" s="220" t="s">
        <v>1148</v>
      </c>
      <c r="K276" s="34"/>
      <c r="L276" s="34"/>
      <c r="M276" s="34"/>
      <c r="N276" s="34"/>
      <c r="O276" s="34"/>
      <c r="P276" s="34"/>
      <c r="Q276" s="34"/>
      <c r="R276" s="217"/>
      <c r="S276" s="217"/>
    </row>
    <row r="277">
      <c r="A277" s="217"/>
      <c r="B277" s="217"/>
      <c r="C277" s="228" t="s">
        <v>866</v>
      </c>
      <c r="D277" s="228" t="s">
        <v>1244</v>
      </c>
      <c r="E277" s="217"/>
      <c r="F277" s="217"/>
      <c r="G277" s="34"/>
      <c r="H277" s="211" t="s">
        <v>321</v>
      </c>
      <c r="I277" s="212">
        <v>233.0</v>
      </c>
      <c r="J277" s="220" t="s">
        <v>1150</v>
      </c>
      <c r="K277" s="34"/>
      <c r="L277" s="34"/>
      <c r="M277" s="34"/>
      <c r="N277" s="34"/>
      <c r="O277" s="34"/>
      <c r="P277" s="34"/>
      <c r="Q277" s="34"/>
      <c r="R277" s="217"/>
      <c r="S277" s="217"/>
    </row>
    <row r="278">
      <c r="A278" s="217"/>
      <c r="B278" s="217"/>
      <c r="C278" s="228" t="s">
        <v>1010</v>
      </c>
      <c r="D278" s="228" t="s">
        <v>1245</v>
      </c>
      <c r="E278" s="217"/>
      <c r="F278" s="217"/>
      <c r="G278" s="34"/>
      <c r="H278" s="211" t="s">
        <v>1246</v>
      </c>
      <c r="I278" s="212">
        <v>530.0</v>
      </c>
      <c r="J278" s="220" t="s">
        <v>1247</v>
      </c>
      <c r="K278" s="34"/>
      <c r="L278" s="34"/>
      <c r="M278" s="34"/>
      <c r="N278" s="34"/>
      <c r="O278" s="34"/>
      <c r="P278" s="34"/>
      <c r="Q278" s="34"/>
      <c r="R278" s="217"/>
      <c r="S278" s="217"/>
    </row>
    <row r="279">
      <c r="A279" s="217"/>
      <c r="B279" s="217"/>
      <c r="C279" s="228" t="s">
        <v>1098</v>
      </c>
      <c r="D279" s="228" t="s">
        <v>270</v>
      </c>
      <c r="E279" s="217"/>
      <c r="F279" s="217"/>
      <c r="G279" s="34"/>
      <c r="H279" s="211" t="s">
        <v>327</v>
      </c>
      <c r="I279" s="212">
        <v>234.0</v>
      </c>
      <c r="J279" s="220" t="s">
        <v>1248</v>
      </c>
      <c r="K279" s="34"/>
      <c r="L279" s="34"/>
      <c r="M279" s="34"/>
      <c r="N279" s="34"/>
      <c r="O279" s="34"/>
      <c r="P279" s="34"/>
      <c r="Q279" s="34"/>
      <c r="R279" s="217"/>
      <c r="S279" s="217"/>
    </row>
    <row r="280">
      <c r="A280" s="217"/>
      <c r="B280" s="217"/>
      <c r="C280" s="228" t="s">
        <v>1101</v>
      </c>
      <c r="D280" s="228" t="s">
        <v>1249</v>
      </c>
      <c r="E280" s="217"/>
      <c r="F280" s="217"/>
      <c r="G280" s="34"/>
      <c r="H280" s="211" t="s">
        <v>334</v>
      </c>
      <c r="I280" s="212">
        <v>235.0</v>
      </c>
      <c r="J280" s="220" t="s">
        <v>1250</v>
      </c>
      <c r="K280" s="34"/>
      <c r="L280" s="34"/>
      <c r="M280" s="34"/>
      <c r="N280" s="34"/>
      <c r="O280" s="34"/>
      <c r="P280" s="34"/>
      <c r="Q280" s="34"/>
      <c r="R280" s="217"/>
      <c r="S280" s="217"/>
    </row>
    <row r="281">
      <c r="A281" s="217"/>
      <c r="B281" s="217"/>
      <c r="C281" s="228" t="s">
        <v>1251</v>
      </c>
      <c r="D281" s="228" t="s">
        <v>270</v>
      </c>
      <c r="E281" s="217"/>
      <c r="F281" s="217"/>
      <c r="G281" s="34"/>
      <c r="H281" s="211" t="s">
        <v>802</v>
      </c>
      <c r="I281" s="212">
        <v>344.0</v>
      </c>
      <c r="J281" s="220" t="s">
        <v>1252</v>
      </c>
      <c r="K281" s="34"/>
      <c r="L281" s="34"/>
      <c r="M281" s="34"/>
      <c r="N281" s="34"/>
      <c r="O281" s="34"/>
      <c r="P281" s="34"/>
      <c r="Q281" s="34"/>
      <c r="R281" s="217"/>
      <c r="S281" s="217"/>
    </row>
    <row r="282">
      <c r="A282" s="217"/>
      <c r="B282" s="217"/>
      <c r="C282" s="228" t="s">
        <v>980</v>
      </c>
      <c r="D282" s="228" t="s">
        <v>1253</v>
      </c>
      <c r="E282" s="217"/>
      <c r="F282" s="217"/>
      <c r="G282" s="34"/>
      <c r="H282" s="211" t="s">
        <v>446</v>
      </c>
      <c r="I282" s="212">
        <v>58.0</v>
      </c>
      <c r="J282" s="220" t="s">
        <v>1254</v>
      </c>
      <c r="K282" s="34"/>
      <c r="L282" s="34"/>
      <c r="M282" s="34"/>
      <c r="N282" s="34"/>
      <c r="O282" s="34"/>
      <c r="P282" s="34"/>
      <c r="Q282" s="34"/>
      <c r="R282" s="217"/>
      <c r="S282" s="217"/>
    </row>
    <row r="283">
      <c r="A283" s="217"/>
      <c r="B283" s="217"/>
      <c r="C283" s="228" t="s">
        <v>987</v>
      </c>
      <c r="D283" s="228" t="s">
        <v>1255</v>
      </c>
      <c r="E283" s="217"/>
      <c r="F283" s="217"/>
      <c r="G283" s="34"/>
      <c r="H283" s="211" t="s">
        <v>1256</v>
      </c>
      <c r="I283" s="212">
        <v>419.0</v>
      </c>
      <c r="J283" s="220" t="s">
        <v>1257</v>
      </c>
      <c r="K283" s="34"/>
      <c r="L283" s="34"/>
      <c r="M283" s="34"/>
      <c r="N283" s="34"/>
      <c r="O283" s="34"/>
      <c r="P283" s="34"/>
      <c r="Q283" s="34"/>
      <c r="R283" s="217"/>
      <c r="S283" s="217"/>
    </row>
    <row r="284">
      <c r="A284" s="217"/>
      <c r="B284" s="217"/>
      <c r="C284" s="228" t="s">
        <v>1141</v>
      </c>
      <c r="D284" s="228" t="s">
        <v>270</v>
      </c>
      <c r="E284" s="217"/>
      <c r="F284" s="217"/>
      <c r="G284" s="34"/>
      <c r="H284" s="211" t="s">
        <v>1258</v>
      </c>
      <c r="I284" s="212">
        <v>420.0</v>
      </c>
      <c r="J284" s="220" t="s">
        <v>1259</v>
      </c>
      <c r="K284" s="34"/>
      <c r="L284" s="34"/>
      <c r="M284" s="34"/>
      <c r="N284" s="34"/>
      <c r="O284" s="34"/>
      <c r="P284" s="34"/>
      <c r="Q284" s="34"/>
      <c r="R284" s="217"/>
      <c r="S284" s="217"/>
    </row>
    <row r="285">
      <c r="A285" s="217"/>
      <c r="B285" s="217"/>
      <c r="C285" s="228" t="s">
        <v>1178</v>
      </c>
      <c r="D285" s="228" t="s">
        <v>1260</v>
      </c>
      <c r="E285" s="217"/>
      <c r="F285" s="217"/>
      <c r="G285" s="34"/>
      <c r="H285" s="211" t="s">
        <v>1134</v>
      </c>
      <c r="I285" s="212">
        <v>123.0</v>
      </c>
      <c r="J285" s="220" t="s">
        <v>1261</v>
      </c>
      <c r="K285" s="34"/>
      <c r="L285" s="34"/>
      <c r="M285" s="34"/>
      <c r="N285" s="34"/>
      <c r="O285" s="34"/>
      <c r="P285" s="34"/>
      <c r="Q285" s="34"/>
      <c r="R285" s="217"/>
      <c r="S285" s="217"/>
    </row>
    <row r="286">
      <c r="A286" s="217"/>
      <c r="B286" s="217"/>
      <c r="C286" s="228" t="s">
        <v>1180</v>
      </c>
      <c r="D286" s="228" t="s">
        <v>270</v>
      </c>
      <c r="E286" s="217"/>
      <c r="F286" s="217"/>
      <c r="G286" s="34"/>
      <c r="H286" s="211" t="s">
        <v>816</v>
      </c>
      <c r="I286" s="212">
        <v>225.0</v>
      </c>
      <c r="J286" s="220" t="s">
        <v>1262</v>
      </c>
      <c r="K286" s="34"/>
      <c r="L286" s="34"/>
      <c r="M286" s="34"/>
      <c r="N286" s="34"/>
      <c r="O286" s="34"/>
      <c r="P286" s="34"/>
      <c r="Q286" s="34"/>
      <c r="R286" s="217"/>
      <c r="S286" s="217"/>
    </row>
    <row r="287">
      <c r="A287" s="217"/>
      <c r="B287" s="217"/>
      <c r="C287" s="228" t="s">
        <v>1182</v>
      </c>
      <c r="D287" s="228" t="s">
        <v>1263</v>
      </c>
      <c r="E287" s="217"/>
      <c r="F287" s="217"/>
      <c r="G287" s="34"/>
      <c r="H287" s="211" t="s">
        <v>1264</v>
      </c>
      <c r="I287" s="212">
        <v>594.0</v>
      </c>
      <c r="J287" s="220" t="s">
        <v>1265</v>
      </c>
      <c r="K287" s="34"/>
      <c r="L287" s="34"/>
      <c r="M287" s="34"/>
      <c r="N287" s="34"/>
      <c r="O287" s="34"/>
      <c r="P287" s="34"/>
      <c r="Q287" s="34"/>
      <c r="R287" s="217"/>
      <c r="S287" s="217"/>
    </row>
    <row r="288">
      <c r="A288" s="217"/>
      <c r="B288" s="217"/>
      <c r="C288" s="228" t="s">
        <v>1184</v>
      </c>
      <c r="D288" s="228" t="s">
        <v>270</v>
      </c>
      <c r="E288" s="217"/>
      <c r="F288" s="217"/>
      <c r="G288" s="34"/>
      <c r="H288" s="211" t="s">
        <v>1137</v>
      </c>
      <c r="I288" s="212">
        <v>124.0</v>
      </c>
      <c r="J288" s="220" t="s">
        <v>1227</v>
      </c>
      <c r="K288" s="34"/>
      <c r="L288" s="34"/>
      <c r="M288" s="34"/>
      <c r="N288" s="34"/>
      <c r="O288" s="34"/>
      <c r="P288" s="34"/>
      <c r="Q288" s="34"/>
      <c r="R288" s="217"/>
      <c r="S288" s="217"/>
    </row>
    <row r="289">
      <c r="A289" s="217"/>
      <c r="B289" s="217"/>
      <c r="C289" s="228" t="s">
        <v>1187</v>
      </c>
      <c r="D289" s="228" t="s">
        <v>1266</v>
      </c>
      <c r="E289" s="217"/>
      <c r="F289" s="217"/>
      <c r="G289" s="34"/>
      <c r="H289" s="211" t="s">
        <v>1139</v>
      </c>
      <c r="I289" s="212">
        <v>125.0</v>
      </c>
      <c r="J289" s="220" t="s">
        <v>1267</v>
      </c>
      <c r="K289" s="34"/>
      <c r="L289" s="34"/>
      <c r="M289" s="34"/>
      <c r="N289" s="34"/>
      <c r="O289" s="34"/>
      <c r="P289" s="34"/>
      <c r="Q289" s="34"/>
      <c r="R289" s="217"/>
      <c r="S289" s="217"/>
    </row>
    <row r="290">
      <c r="A290" s="217"/>
      <c r="B290" s="217"/>
      <c r="C290" s="228" t="s">
        <v>957</v>
      </c>
      <c r="D290" s="228" t="s">
        <v>1268</v>
      </c>
      <c r="E290" s="217"/>
      <c r="F290" s="217"/>
      <c r="G290" s="34"/>
      <c r="H290" s="211" t="s">
        <v>960</v>
      </c>
      <c r="I290" s="212">
        <v>248.0</v>
      </c>
      <c r="J290" s="220" t="s">
        <v>1269</v>
      </c>
      <c r="K290" s="34"/>
      <c r="L290" s="34"/>
      <c r="M290" s="34"/>
      <c r="N290" s="34"/>
      <c r="O290" s="34"/>
      <c r="P290" s="34"/>
      <c r="Q290" s="34"/>
      <c r="R290" s="217"/>
      <c r="S290" s="217"/>
    </row>
    <row r="291">
      <c r="A291" s="217"/>
      <c r="B291" s="217"/>
      <c r="C291" s="228" t="s">
        <v>973</v>
      </c>
      <c r="D291" s="228" t="s">
        <v>1270</v>
      </c>
      <c r="E291" s="217"/>
      <c r="F291" s="217"/>
      <c r="G291" s="34"/>
      <c r="H291" s="211" t="s">
        <v>1271</v>
      </c>
      <c r="I291" s="212">
        <v>283.0</v>
      </c>
      <c r="J291" s="220" t="s">
        <v>1272</v>
      </c>
      <c r="K291" s="34"/>
      <c r="L291" s="34"/>
      <c r="M291" s="34"/>
      <c r="N291" s="34"/>
      <c r="O291" s="34"/>
      <c r="P291" s="34"/>
      <c r="Q291" s="34"/>
      <c r="R291" s="217"/>
      <c r="S291" s="217"/>
    </row>
    <row r="292">
      <c r="A292" s="217"/>
      <c r="B292" s="217"/>
      <c r="C292" s="228" t="s">
        <v>1271</v>
      </c>
      <c r="D292" s="228" t="s">
        <v>1273</v>
      </c>
      <c r="E292" s="217"/>
      <c r="F292" s="217"/>
      <c r="G292" s="34"/>
      <c r="H292" s="211" t="s">
        <v>820</v>
      </c>
      <c r="I292" s="212">
        <v>226.0</v>
      </c>
      <c r="J292" s="220" t="s">
        <v>1274</v>
      </c>
      <c r="K292" s="34"/>
      <c r="L292" s="34"/>
      <c r="M292" s="34"/>
      <c r="N292" s="34"/>
      <c r="O292" s="34"/>
      <c r="P292" s="34"/>
      <c r="Q292" s="34"/>
      <c r="R292" s="217"/>
      <c r="S292" s="217"/>
    </row>
    <row r="293">
      <c r="A293" s="217"/>
      <c r="B293" s="217"/>
      <c r="C293" s="228" t="s">
        <v>1275</v>
      </c>
      <c r="D293" s="228" t="s">
        <v>270</v>
      </c>
      <c r="E293" s="217"/>
      <c r="F293" s="217"/>
      <c r="G293" s="34"/>
      <c r="H293" s="211" t="s">
        <v>1276</v>
      </c>
      <c r="I293" s="212">
        <v>421.0</v>
      </c>
      <c r="J293" s="220" t="s">
        <v>1277</v>
      </c>
      <c r="K293" s="34"/>
      <c r="L293" s="34"/>
      <c r="M293" s="34"/>
      <c r="N293" s="34"/>
      <c r="O293" s="34"/>
      <c r="P293" s="34"/>
      <c r="Q293" s="34"/>
      <c r="R293" s="217"/>
      <c r="S293" s="217"/>
    </row>
    <row r="294">
      <c r="A294" s="217"/>
      <c r="B294" s="217"/>
      <c r="C294" s="228" t="s">
        <v>1278</v>
      </c>
      <c r="D294" s="228" t="s">
        <v>270</v>
      </c>
      <c r="E294" s="217"/>
      <c r="F294" s="217"/>
      <c r="G294" s="34"/>
      <c r="H294" s="211" t="s">
        <v>963</v>
      </c>
      <c r="I294" s="212">
        <v>249.0</v>
      </c>
      <c r="J294" s="220" t="s">
        <v>1279</v>
      </c>
      <c r="K294" s="34"/>
      <c r="L294" s="34"/>
      <c r="M294" s="34"/>
      <c r="N294" s="34"/>
      <c r="O294" s="34"/>
      <c r="P294" s="34"/>
      <c r="Q294" s="34"/>
      <c r="R294" s="217"/>
      <c r="S294" s="217"/>
    </row>
    <row r="295">
      <c r="A295" s="217"/>
      <c r="B295" s="217"/>
      <c r="C295" s="228" t="s">
        <v>1280</v>
      </c>
      <c r="D295" s="228" t="s">
        <v>1281</v>
      </c>
      <c r="E295" s="217"/>
      <c r="F295" s="217"/>
      <c r="G295" s="34"/>
      <c r="H295" s="211" t="s">
        <v>577</v>
      </c>
      <c r="I295" s="212">
        <v>279.0</v>
      </c>
      <c r="J295" s="220" t="s">
        <v>1282</v>
      </c>
      <c r="K295" s="34"/>
      <c r="L295" s="34"/>
      <c r="M295" s="34"/>
      <c r="N295" s="34"/>
      <c r="O295" s="34"/>
      <c r="P295" s="34"/>
      <c r="Q295" s="34"/>
      <c r="R295" s="217"/>
      <c r="S295" s="217"/>
    </row>
    <row r="296">
      <c r="A296" s="217"/>
      <c r="B296" s="217"/>
      <c r="C296" s="228" t="s">
        <v>1283</v>
      </c>
      <c r="D296" s="228" t="s">
        <v>270</v>
      </c>
      <c r="E296" s="217"/>
      <c r="F296" s="217"/>
      <c r="G296" s="34"/>
      <c r="H296" s="211" t="s">
        <v>452</v>
      </c>
      <c r="I296" s="212">
        <v>19.0</v>
      </c>
      <c r="J296" s="220" t="s">
        <v>1284</v>
      </c>
      <c r="K296" s="34"/>
      <c r="L296" s="34"/>
      <c r="M296" s="34"/>
      <c r="N296" s="34"/>
      <c r="O296" s="34"/>
      <c r="P296" s="34"/>
      <c r="Q296" s="34"/>
      <c r="R296" s="217"/>
      <c r="S296" s="217"/>
    </row>
    <row r="297">
      <c r="A297" s="217"/>
      <c r="B297" s="217"/>
      <c r="C297" s="228" t="s">
        <v>1285</v>
      </c>
      <c r="D297" s="228" t="s">
        <v>1286</v>
      </c>
      <c r="E297" s="217"/>
      <c r="F297" s="217"/>
      <c r="G297" s="34"/>
      <c r="H297" s="211" t="s">
        <v>992</v>
      </c>
      <c r="I297" s="212">
        <v>64.0</v>
      </c>
      <c r="J297" s="220" t="s">
        <v>1287</v>
      </c>
      <c r="K297" s="34"/>
      <c r="L297" s="34"/>
      <c r="M297" s="34"/>
      <c r="N297" s="34"/>
      <c r="O297" s="34"/>
      <c r="P297" s="34"/>
      <c r="Q297" s="34"/>
      <c r="R297" s="217"/>
      <c r="S297" s="217"/>
    </row>
    <row r="298">
      <c r="A298" s="217"/>
      <c r="B298" s="217"/>
      <c r="C298" s="228" t="s">
        <v>1288</v>
      </c>
      <c r="D298" s="228" t="s">
        <v>270</v>
      </c>
      <c r="E298" s="217"/>
      <c r="F298" s="217"/>
      <c r="G298" s="34"/>
      <c r="H298" s="211" t="s">
        <v>885</v>
      </c>
      <c r="I298" s="212">
        <v>69.0</v>
      </c>
      <c r="J298" s="220" t="s">
        <v>1289</v>
      </c>
      <c r="K298" s="34"/>
      <c r="L298" s="34"/>
      <c r="M298" s="34"/>
      <c r="N298" s="34"/>
      <c r="O298" s="34"/>
      <c r="P298" s="34"/>
      <c r="Q298" s="34"/>
      <c r="R298" s="217"/>
      <c r="S298" s="217"/>
    </row>
    <row r="299">
      <c r="A299" s="217"/>
      <c r="B299" s="217"/>
      <c r="C299" s="228" t="s">
        <v>1290</v>
      </c>
      <c r="D299" s="228" t="s">
        <v>270</v>
      </c>
      <c r="E299" s="217"/>
      <c r="F299" s="217"/>
      <c r="G299" s="34"/>
      <c r="H299" s="211" t="s">
        <v>694</v>
      </c>
      <c r="I299" s="212">
        <v>320.0</v>
      </c>
      <c r="J299" s="220" t="s">
        <v>1291</v>
      </c>
      <c r="K299" s="34"/>
      <c r="L299" s="34"/>
      <c r="M299" s="34"/>
      <c r="N299" s="34"/>
      <c r="O299" s="34"/>
      <c r="P299" s="34"/>
      <c r="Q299" s="34"/>
      <c r="R299" s="217"/>
      <c r="S299" s="217"/>
    </row>
    <row r="300">
      <c r="A300" s="217"/>
      <c r="B300" s="217"/>
      <c r="C300" s="228" t="s">
        <v>1292</v>
      </c>
      <c r="D300" s="228" t="s">
        <v>270</v>
      </c>
      <c r="E300" s="217"/>
      <c r="F300" s="217"/>
      <c r="G300" s="34"/>
      <c r="H300" s="211" t="s">
        <v>1173</v>
      </c>
      <c r="I300" s="212">
        <v>130.0</v>
      </c>
      <c r="J300" s="220" t="s">
        <v>1293</v>
      </c>
      <c r="K300" s="34"/>
      <c r="L300" s="34"/>
      <c r="M300" s="34"/>
      <c r="N300" s="34"/>
      <c r="O300" s="34"/>
      <c r="P300" s="34"/>
      <c r="Q300" s="34"/>
      <c r="R300" s="217"/>
      <c r="S300" s="217"/>
    </row>
    <row r="301">
      <c r="A301" s="217"/>
      <c r="B301" s="217"/>
      <c r="C301" s="228" t="s">
        <v>1294</v>
      </c>
      <c r="D301" s="228" t="s">
        <v>270</v>
      </c>
      <c r="E301" s="217"/>
      <c r="F301" s="217"/>
      <c r="G301" s="34"/>
      <c r="H301" s="211" t="s">
        <v>1295</v>
      </c>
      <c r="I301" s="212">
        <v>345.0</v>
      </c>
      <c r="J301" s="220" t="s">
        <v>1296</v>
      </c>
      <c r="K301" s="34"/>
      <c r="L301" s="34"/>
      <c r="M301" s="34"/>
      <c r="N301" s="34"/>
      <c r="O301" s="34"/>
      <c r="P301" s="34"/>
      <c r="Q301" s="34"/>
      <c r="R301" s="217"/>
      <c r="S301" s="217"/>
    </row>
    <row r="302">
      <c r="A302" s="217"/>
      <c r="B302" s="217"/>
      <c r="C302" s="228" t="s">
        <v>1216</v>
      </c>
      <c r="D302" s="228" t="s">
        <v>270</v>
      </c>
      <c r="E302" s="217"/>
      <c r="F302" s="217"/>
      <c r="G302" s="34"/>
      <c r="H302" s="211" t="s">
        <v>1223</v>
      </c>
      <c r="I302" s="212">
        <v>166.0</v>
      </c>
      <c r="J302" s="220" t="s">
        <v>1297</v>
      </c>
      <c r="K302" s="34"/>
      <c r="L302" s="34"/>
      <c r="M302" s="34"/>
      <c r="N302" s="34"/>
      <c r="O302" s="34"/>
      <c r="P302" s="34"/>
      <c r="Q302" s="34"/>
      <c r="R302" s="217"/>
      <c r="S302" s="217"/>
    </row>
    <row r="303">
      <c r="A303" s="217"/>
      <c r="B303" s="217"/>
      <c r="C303" s="228" t="s">
        <v>1298</v>
      </c>
      <c r="D303" s="228" t="s">
        <v>270</v>
      </c>
      <c r="E303" s="217"/>
      <c r="F303" s="217"/>
      <c r="G303" s="34"/>
      <c r="H303" s="211" t="s">
        <v>340</v>
      </c>
      <c r="I303" s="212">
        <v>236.0</v>
      </c>
      <c r="J303" s="220" t="s">
        <v>1299</v>
      </c>
      <c r="K303" s="34"/>
      <c r="L303" s="34"/>
      <c r="M303" s="34"/>
      <c r="N303" s="34"/>
      <c r="O303" s="34"/>
      <c r="P303" s="34"/>
      <c r="Q303" s="34"/>
      <c r="R303" s="217"/>
      <c r="S303" s="217"/>
    </row>
    <row r="304">
      <c r="A304" s="217"/>
      <c r="B304" s="217"/>
      <c r="C304" s="228" t="s">
        <v>597</v>
      </c>
      <c r="D304" s="228" t="s">
        <v>1300</v>
      </c>
      <c r="E304" s="217"/>
      <c r="F304" s="217"/>
      <c r="G304" s="34"/>
      <c r="H304" s="211" t="s">
        <v>459</v>
      </c>
      <c r="I304" s="212">
        <v>49.0</v>
      </c>
      <c r="J304" s="220" t="s">
        <v>1301</v>
      </c>
      <c r="K304" s="34"/>
      <c r="L304" s="34"/>
      <c r="M304" s="34"/>
      <c r="N304" s="34"/>
      <c r="O304" s="34"/>
      <c r="P304" s="34"/>
      <c r="Q304" s="34"/>
      <c r="R304" s="217"/>
      <c r="S304" s="217"/>
    </row>
    <row r="305">
      <c r="A305" s="217"/>
      <c r="B305" s="217"/>
      <c r="C305" s="228" t="s">
        <v>1077</v>
      </c>
      <c r="D305" s="228" t="s">
        <v>1302</v>
      </c>
      <c r="E305" s="217"/>
      <c r="F305" s="217"/>
      <c r="G305" s="34"/>
      <c r="H305" s="211" t="s">
        <v>1144</v>
      </c>
      <c r="I305" s="212">
        <v>437.0</v>
      </c>
      <c r="J305" s="220" t="s">
        <v>1303</v>
      </c>
      <c r="K305" s="34"/>
      <c r="L305" s="34"/>
      <c r="M305" s="34"/>
      <c r="N305" s="34"/>
      <c r="O305" s="34"/>
      <c r="P305" s="34"/>
      <c r="Q305" s="34"/>
      <c r="R305" s="217"/>
      <c r="S305" s="217"/>
    </row>
    <row r="306">
      <c r="A306" s="217"/>
      <c r="B306" s="217"/>
      <c r="C306" s="228" t="s">
        <v>311</v>
      </c>
      <c r="D306" s="228" t="s">
        <v>1304</v>
      </c>
      <c r="E306" s="217"/>
      <c r="F306" s="217"/>
      <c r="G306" s="34"/>
      <c r="H306" s="211" t="s">
        <v>465</v>
      </c>
      <c r="I306" s="212">
        <v>126.0</v>
      </c>
      <c r="J306" s="220" t="s">
        <v>1305</v>
      </c>
      <c r="K306" s="34"/>
      <c r="L306" s="34"/>
      <c r="M306" s="34"/>
      <c r="N306" s="34"/>
      <c r="O306" s="34"/>
      <c r="P306" s="34"/>
      <c r="Q306" s="34"/>
      <c r="R306" s="217"/>
      <c r="S306" s="217"/>
    </row>
    <row r="307">
      <c r="A307" s="217"/>
      <c r="B307" s="217"/>
      <c r="C307" s="228" t="s">
        <v>365</v>
      </c>
      <c r="D307" s="228" t="s">
        <v>1306</v>
      </c>
      <c r="E307" s="217"/>
      <c r="F307" s="217"/>
      <c r="G307" s="34"/>
      <c r="H307" s="211" t="s">
        <v>465</v>
      </c>
      <c r="I307" s="212">
        <v>541.0</v>
      </c>
      <c r="J307" s="220" t="s">
        <v>1307</v>
      </c>
      <c r="K307" s="34"/>
      <c r="L307" s="34"/>
      <c r="M307" s="34"/>
      <c r="N307" s="34"/>
      <c r="O307" s="34"/>
      <c r="P307" s="34"/>
      <c r="Q307" s="34"/>
      <c r="R307" s="217"/>
      <c r="S307" s="217"/>
    </row>
    <row r="308">
      <c r="A308" s="217"/>
      <c r="B308" s="217"/>
      <c r="C308" s="228" t="s">
        <v>369</v>
      </c>
      <c r="D308" s="228" t="s">
        <v>1308</v>
      </c>
      <c r="E308" s="217"/>
      <c r="F308" s="217"/>
      <c r="G308" s="34"/>
      <c r="H308" s="211" t="s">
        <v>346</v>
      </c>
      <c r="I308" s="212">
        <v>237.0</v>
      </c>
      <c r="J308" s="220" t="s">
        <v>1309</v>
      </c>
      <c r="K308" s="34"/>
      <c r="L308" s="34"/>
      <c r="M308" s="34"/>
      <c r="N308" s="34"/>
      <c r="O308" s="34"/>
      <c r="P308" s="34"/>
      <c r="Q308" s="34"/>
      <c r="R308" s="217"/>
      <c r="S308" s="217"/>
    </row>
    <row r="309">
      <c r="A309" s="217"/>
      <c r="B309" s="217"/>
      <c r="C309" s="228" t="s">
        <v>592</v>
      </c>
      <c r="D309" s="228" t="s">
        <v>1310</v>
      </c>
      <c r="E309" s="217"/>
      <c r="F309" s="217"/>
      <c r="G309" s="34"/>
      <c r="H309" s="211" t="s">
        <v>1275</v>
      </c>
      <c r="I309" s="212">
        <v>284.0</v>
      </c>
      <c r="J309" s="220" t="s">
        <v>1311</v>
      </c>
      <c r="K309" s="34"/>
      <c r="L309" s="34"/>
      <c r="M309" s="34"/>
      <c r="N309" s="34"/>
      <c r="O309" s="34"/>
      <c r="P309" s="34"/>
      <c r="Q309" s="34"/>
      <c r="R309" s="217"/>
      <c r="S309" s="217"/>
    </row>
    <row r="310">
      <c r="A310" s="217"/>
      <c r="B310" s="217"/>
      <c r="C310" s="228" t="s">
        <v>599</v>
      </c>
      <c r="D310" s="228" t="s">
        <v>270</v>
      </c>
      <c r="E310" s="217"/>
      <c r="F310" s="217"/>
      <c r="G310" s="34"/>
      <c r="H310" s="211" t="s">
        <v>1193</v>
      </c>
      <c r="I310" s="212">
        <v>139.0</v>
      </c>
      <c r="J310" s="220" t="s">
        <v>1312</v>
      </c>
      <c r="K310" s="34"/>
      <c r="L310" s="34"/>
      <c r="M310" s="34"/>
      <c r="N310" s="34"/>
      <c r="O310" s="34"/>
      <c r="P310" s="34"/>
      <c r="Q310" s="34"/>
      <c r="R310" s="217"/>
      <c r="S310" s="217"/>
    </row>
    <row r="311">
      <c r="A311" s="217"/>
      <c r="B311" s="217"/>
      <c r="C311" s="228" t="s">
        <v>680</v>
      </c>
      <c r="D311" s="228" t="s">
        <v>1313</v>
      </c>
      <c r="E311" s="217"/>
      <c r="F311" s="217"/>
      <c r="G311" s="34"/>
      <c r="H311" s="211" t="s">
        <v>1046</v>
      </c>
      <c r="I311" s="212">
        <v>84.0</v>
      </c>
      <c r="J311" s="220" t="s">
        <v>1314</v>
      </c>
      <c r="K311" s="34"/>
      <c r="L311" s="34"/>
      <c r="M311" s="34"/>
      <c r="N311" s="34"/>
      <c r="O311" s="34"/>
      <c r="P311" s="34"/>
      <c r="Q311" s="34"/>
      <c r="R311" s="217"/>
      <c r="S311" s="217"/>
    </row>
    <row r="312">
      <c r="A312" s="217"/>
      <c r="B312" s="217"/>
      <c r="C312" s="228" t="s">
        <v>785</v>
      </c>
      <c r="D312" s="228" t="s">
        <v>1315</v>
      </c>
      <c r="E312" s="217"/>
      <c r="F312" s="217"/>
      <c r="G312" s="34"/>
      <c r="H312" s="211" t="s">
        <v>1148</v>
      </c>
      <c r="I312" s="212">
        <v>438.0</v>
      </c>
      <c r="J312" s="220" t="s">
        <v>1316</v>
      </c>
      <c r="K312" s="34"/>
      <c r="L312" s="34"/>
      <c r="M312" s="34"/>
      <c r="N312" s="34"/>
      <c r="O312" s="34"/>
      <c r="P312" s="34"/>
      <c r="Q312" s="34"/>
      <c r="R312" s="217"/>
      <c r="S312" s="217"/>
    </row>
    <row r="313">
      <c r="A313" s="217"/>
      <c r="B313" s="217"/>
      <c r="C313" s="228" t="s">
        <v>802</v>
      </c>
      <c r="D313" s="228" t="s">
        <v>1317</v>
      </c>
      <c r="E313" s="217"/>
      <c r="F313" s="217"/>
      <c r="G313" s="34"/>
      <c r="H313" s="211" t="s">
        <v>1150</v>
      </c>
      <c r="I313" s="212">
        <v>439.0</v>
      </c>
      <c r="J313" s="220" t="s">
        <v>1318</v>
      </c>
      <c r="K313" s="34"/>
      <c r="L313" s="34"/>
      <c r="M313" s="34"/>
      <c r="N313" s="34"/>
      <c r="O313" s="34"/>
      <c r="P313" s="34"/>
      <c r="Q313" s="34"/>
      <c r="R313" s="217"/>
      <c r="S313" s="217"/>
    </row>
    <row r="314">
      <c r="A314" s="217"/>
      <c r="B314" s="217"/>
      <c r="C314" s="228" t="s">
        <v>1295</v>
      </c>
      <c r="D314" s="228" t="s">
        <v>270</v>
      </c>
      <c r="E314" s="217"/>
      <c r="F314" s="217"/>
      <c r="G314" s="34"/>
      <c r="H314" s="211" t="s">
        <v>351</v>
      </c>
      <c r="I314" s="212">
        <v>238.0</v>
      </c>
      <c r="J314" s="220" t="s">
        <v>1319</v>
      </c>
      <c r="K314" s="34"/>
      <c r="L314" s="34"/>
      <c r="M314" s="34"/>
      <c r="N314" s="34"/>
      <c r="O314" s="34"/>
      <c r="P314" s="34"/>
      <c r="Q314" s="34"/>
      <c r="R314" s="217"/>
      <c r="S314" s="217"/>
    </row>
    <row r="315">
      <c r="A315" s="217"/>
      <c r="B315" s="217"/>
      <c r="C315" s="228" t="s">
        <v>877</v>
      </c>
      <c r="D315" s="228" t="s">
        <v>1320</v>
      </c>
      <c r="E315" s="217"/>
      <c r="F315" s="217"/>
      <c r="G315" s="34"/>
      <c r="H315" s="211" t="s">
        <v>699</v>
      </c>
      <c r="I315" s="212">
        <v>321.0</v>
      </c>
      <c r="J315" s="220" t="s">
        <v>1321</v>
      </c>
      <c r="K315" s="34"/>
      <c r="L315" s="34"/>
      <c r="M315" s="34"/>
      <c r="N315" s="34"/>
      <c r="O315" s="34"/>
      <c r="P315" s="34"/>
      <c r="Q315" s="34"/>
      <c r="R315" s="217"/>
      <c r="S315" s="217"/>
    </row>
    <row r="316">
      <c r="A316" s="217"/>
      <c r="B316" s="217"/>
      <c r="C316" s="228" t="s">
        <v>1322</v>
      </c>
      <c r="D316" s="228" t="s">
        <v>270</v>
      </c>
      <c r="E316" s="217"/>
      <c r="F316" s="217"/>
      <c r="G316" s="34"/>
      <c r="H316" s="211" t="s">
        <v>471</v>
      </c>
      <c r="I316" s="212">
        <v>10.0</v>
      </c>
      <c r="J316" s="220" t="s">
        <v>1323</v>
      </c>
      <c r="K316" s="34"/>
      <c r="L316" s="34"/>
      <c r="M316" s="34"/>
      <c r="N316" s="34"/>
      <c r="O316" s="34"/>
      <c r="P316" s="34"/>
      <c r="Q316" s="34"/>
      <c r="R316" s="217"/>
      <c r="S316" s="217"/>
    </row>
    <row r="317">
      <c r="A317" s="217"/>
      <c r="B317" s="217"/>
      <c r="C317" s="228" t="s">
        <v>1324</v>
      </c>
      <c r="D317" s="228" t="s">
        <v>1325</v>
      </c>
      <c r="E317" s="217"/>
      <c r="F317" s="217"/>
      <c r="G317" s="34"/>
      <c r="H317" s="211" t="s">
        <v>996</v>
      </c>
      <c r="I317" s="212">
        <v>428.0</v>
      </c>
      <c r="J317" s="220" t="s">
        <v>1326</v>
      </c>
      <c r="K317" s="34"/>
      <c r="L317" s="34"/>
      <c r="M317" s="34"/>
      <c r="N317" s="34"/>
      <c r="O317" s="34"/>
      <c r="P317" s="34"/>
      <c r="Q317" s="34"/>
      <c r="R317" s="217"/>
      <c r="S317" s="217"/>
    </row>
    <row r="318">
      <c r="A318" s="217"/>
      <c r="B318" s="217"/>
      <c r="C318" s="228" t="s">
        <v>884</v>
      </c>
      <c r="D318" s="228" t="s">
        <v>270</v>
      </c>
      <c r="E318" s="217"/>
      <c r="F318" s="217"/>
      <c r="G318" s="34"/>
      <c r="H318" s="211" t="s">
        <v>790</v>
      </c>
      <c r="I318" s="212">
        <v>221.0</v>
      </c>
      <c r="J318" s="220" t="s">
        <v>1327</v>
      </c>
      <c r="K318" s="34"/>
      <c r="L318" s="34"/>
      <c r="M318" s="34"/>
      <c r="N318" s="34"/>
      <c r="O318" s="34"/>
      <c r="P318" s="34"/>
      <c r="Q318" s="34"/>
      <c r="R318" s="217"/>
      <c r="S318" s="217"/>
    </row>
    <row r="319">
      <c r="A319" s="217"/>
      <c r="B319" s="217"/>
      <c r="C319" s="228" t="s">
        <v>1024</v>
      </c>
      <c r="D319" s="228" t="s">
        <v>270</v>
      </c>
      <c r="E319" s="217"/>
      <c r="F319" s="217"/>
      <c r="G319" s="34"/>
      <c r="H319" s="211" t="s">
        <v>357</v>
      </c>
      <c r="I319" s="212">
        <v>239.0</v>
      </c>
      <c r="J319" s="220" t="s">
        <v>1328</v>
      </c>
      <c r="K319" s="34"/>
      <c r="L319" s="34"/>
      <c r="M319" s="34"/>
      <c r="N319" s="34"/>
      <c r="O319" s="34"/>
      <c r="P319" s="34"/>
      <c r="Q319" s="34"/>
      <c r="R319" s="217"/>
      <c r="S319" s="217"/>
    </row>
    <row r="320">
      <c r="A320" s="217"/>
      <c r="B320" s="217"/>
      <c r="C320" s="228" t="s">
        <v>295</v>
      </c>
      <c r="D320" s="228" t="s">
        <v>270</v>
      </c>
      <c r="E320" s="217"/>
      <c r="F320" s="217"/>
      <c r="G320" s="34"/>
      <c r="H320" s="211" t="s">
        <v>1100</v>
      </c>
      <c r="I320" s="212">
        <v>111.0</v>
      </c>
      <c r="J320" s="220" t="s">
        <v>1329</v>
      </c>
      <c r="K320" s="34"/>
      <c r="L320" s="34"/>
      <c r="M320" s="34"/>
      <c r="N320" s="34"/>
      <c r="O320" s="34"/>
      <c r="P320" s="34"/>
      <c r="Q320" s="34"/>
      <c r="R320" s="217"/>
      <c r="S320" s="217"/>
    </row>
    <row r="321">
      <c r="A321" s="217"/>
      <c r="B321" s="217"/>
      <c r="C321" s="228" t="s">
        <v>302</v>
      </c>
      <c r="D321" s="228" t="s">
        <v>270</v>
      </c>
      <c r="E321" s="217"/>
      <c r="F321" s="217"/>
      <c r="G321" s="34"/>
      <c r="H321" s="211" t="s">
        <v>454</v>
      </c>
      <c r="I321" s="212">
        <v>266.0</v>
      </c>
      <c r="J321" s="220" t="s">
        <v>1330</v>
      </c>
      <c r="K321" s="34"/>
      <c r="L321" s="34"/>
      <c r="M321" s="34"/>
      <c r="N321" s="34"/>
      <c r="O321" s="34"/>
      <c r="P321" s="34"/>
      <c r="Q321" s="34"/>
      <c r="R321" s="217"/>
      <c r="S321" s="217"/>
    </row>
    <row r="322">
      <c r="A322" s="217"/>
      <c r="B322" s="217"/>
      <c r="C322" s="228" t="s">
        <v>335</v>
      </c>
      <c r="D322" s="228" t="s">
        <v>270</v>
      </c>
      <c r="E322" s="217"/>
      <c r="F322" s="217"/>
      <c r="G322" s="34"/>
      <c r="H322" s="211" t="s">
        <v>460</v>
      </c>
      <c r="I322" s="212">
        <v>267.0</v>
      </c>
      <c r="J322" s="220" t="s">
        <v>1331</v>
      </c>
      <c r="K322" s="34"/>
      <c r="L322" s="34"/>
      <c r="M322" s="34"/>
      <c r="N322" s="34"/>
      <c r="O322" s="34"/>
      <c r="P322" s="34"/>
      <c r="Q322" s="34"/>
      <c r="R322" s="217"/>
      <c r="S322" s="217"/>
    </row>
    <row r="323">
      <c r="A323" s="217"/>
      <c r="B323" s="217"/>
      <c r="C323" s="228" t="s">
        <v>503</v>
      </c>
      <c r="D323" s="228" t="s">
        <v>270</v>
      </c>
      <c r="E323" s="217"/>
      <c r="F323" s="217"/>
      <c r="G323" s="34"/>
      <c r="H323" s="211" t="s">
        <v>877</v>
      </c>
      <c r="I323" s="212">
        <v>346.0</v>
      </c>
      <c r="J323" s="220" t="s">
        <v>1332</v>
      </c>
      <c r="K323" s="34"/>
      <c r="L323" s="34"/>
      <c r="M323" s="34"/>
      <c r="N323" s="34"/>
      <c r="O323" s="34"/>
      <c r="P323" s="34"/>
      <c r="Q323" s="34"/>
      <c r="R323" s="217"/>
      <c r="S323" s="217"/>
    </row>
    <row r="324">
      <c r="A324" s="217"/>
      <c r="B324" s="217"/>
      <c r="C324" s="228" t="s">
        <v>546</v>
      </c>
      <c r="D324" s="228" t="s">
        <v>270</v>
      </c>
      <c r="E324" s="217"/>
      <c r="F324" s="217"/>
      <c r="G324" s="34"/>
      <c r="H324" s="211" t="s">
        <v>1322</v>
      </c>
      <c r="I324" s="212">
        <v>347.0</v>
      </c>
      <c r="J324" s="220" t="s">
        <v>1333</v>
      </c>
      <c r="K324" s="34"/>
      <c r="L324" s="34"/>
      <c r="M324" s="34"/>
      <c r="N324" s="34"/>
      <c r="O324" s="34"/>
      <c r="P324" s="34"/>
      <c r="Q324" s="34"/>
      <c r="R324" s="217"/>
      <c r="S324" s="217"/>
    </row>
    <row r="325">
      <c r="A325" s="217"/>
      <c r="B325" s="217"/>
      <c r="C325" s="228" t="s">
        <v>843</v>
      </c>
      <c r="D325" s="228" t="s">
        <v>270</v>
      </c>
      <c r="E325" s="217"/>
      <c r="F325" s="217"/>
      <c r="G325" s="34"/>
      <c r="H325" s="211" t="s">
        <v>999</v>
      </c>
      <c r="I325" s="212">
        <v>65.0</v>
      </c>
      <c r="J325" s="220" t="s">
        <v>1334</v>
      </c>
      <c r="K325" s="34"/>
      <c r="L325" s="34"/>
      <c r="M325" s="34"/>
      <c r="N325" s="34"/>
      <c r="O325" s="34"/>
      <c r="P325" s="34"/>
      <c r="Q325" s="34"/>
      <c r="R325" s="217"/>
      <c r="S325" s="217"/>
    </row>
    <row r="326">
      <c r="A326" s="217"/>
      <c r="B326" s="217"/>
      <c r="C326" s="228" t="s">
        <v>1022</v>
      </c>
      <c r="D326" s="228" t="s">
        <v>270</v>
      </c>
      <c r="E326" s="217"/>
      <c r="F326" s="217"/>
      <c r="G326" s="34"/>
      <c r="H326" s="211" t="s">
        <v>477</v>
      </c>
      <c r="I326" s="212">
        <v>24.0</v>
      </c>
      <c r="J326" s="220" t="s">
        <v>1335</v>
      </c>
      <c r="K326" s="34"/>
      <c r="L326" s="34"/>
      <c r="M326" s="34"/>
      <c r="N326" s="34"/>
      <c r="O326" s="34"/>
      <c r="P326" s="34"/>
      <c r="Q326" s="34"/>
      <c r="R326" s="217"/>
      <c r="S326" s="217"/>
    </row>
    <row r="327">
      <c r="A327" s="217"/>
      <c r="B327" s="217"/>
      <c r="C327" s="228" t="s">
        <v>1074</v>
      </c>
      <c r="D327" s="228" t="s">
        <v>270</v>
      </c>
      <c r="E327" s="217"/>
      <c r="F327" s="217"/>
      <c r="G327" s="34"/>
      <c r="H327" s="211" t="s">
        <v>1324</v>
      </c>
      <c r="I327" s="212">
        <v>338.0</v>
      </c>
      <c r="J327" s="220" t="s">
        <v>1336</v>
      </c>
      <c r="K327" s="34"/>
      <c r="L327" s="34"/>
      <c r="M327" s="34"/>
      <c r="N327" s="34"/>
      <c r="O327" s="34"/>
      <c r="P327" s="34"/>
      <c r="Q327" s="34"/>
      <c r="R327" s="217"/>
      <c r="S327" s="217"/>
    </row>
    <row r="328">
      <c r="A328" s="217"/>
      <c r="B328" s="217"/>
      <c r="C328" s="228" t="s">
        <v>1171</v>
      </c>
      <c r="D328" s="228" t="s">
        <v>270</v>
      </c>
      <c r="E328" s="217"/>
      <c r="F328" s="217"/>
      <c r="G328" s="34"/>
      <c r="H328" s="211" t="s">
        <v>926</v>
      </c>
      <c r="I328" s="212">
        <v>205.0</v>
      </c>
      <c r="J328" s="220" t="s">
        <v>1337</v>
      </c>
      <c r="K328" s="34"/>
      <c r="L328" s="34"/>
      <c r="M328" s="34"/>
      <c r="N328" s="34"/>
      <c r="O328" s="34"/>
      <c r="P328" s="34"/>
      <c r="Q328" s="34"/>
      <c r="R328" s="217"/>
      <c r="S328" s="217"/>
    </row>
    <row r="329">
      <c r="A329" s="217"/>
      <c r="B329" s="217"/>
      <c r="C329" s="228" t="s">
        <v>1189</v>
      </c>
      <c r="D329" s="228" t="s">
        <v>270</v>
      </c>
      <c r="E329" s="217"/>
      <c r="F329" s="217"/>
      <c r="G329" s="34"/>
      <c r="H329" s="211" t="s">
        <v>793</v>
      </c>
      <c r="I329" s="212">
        <v>222.0</v>
      </c>
      <c r="J329" s="220" t="s">
        <v>1338</v>
      </c>
      <c r="K329" s="34"/>
      <c r="L329" s="34"/>
      <c r="M329" s="34"/>
      <c r="N329" s="34"/>
      <c r="O329" s="34"/>
      <c r="P329" s="34"/>
      <c r="Q329" s="34"/>
      <c r="R329" s="217"/>
      <c r="S329" s="217"/>
    </row>
    <row r="330">
      <c r="A330" s="217"/>
      <c r="B330" s="217"/>
      <c r="C330" s="228" t="s">
        <v>1191</v>
      </c>
      <c r="D330" s="228" t="s">
        <v>270</v>
      </c>
      <c r="E330" s="217"/>
      <c r="F330" s="217"/>
      <c r="G330" s="34"/>
      <c r="H330" s="211" t="s">
        <v>884</v>
      </c>
      <c r="I330" s="212">
        <v>348.0</v>
      </c>
      <c r="J330" s="220" t="s">
        <v>1339</v>
      </c>
      <c r="K330" s="34"/>
      <c r="L330" s="34"/>
      <c r="M330" s="34"/>
      <c r="N330" s="34"/>
      <c r="O330" s="34"/>
      <c r="P330" s="34"/>
      <c r="Q330" s="34"/>
      <c r="R330" s="217"/>
      <c r="S330" s="217"/>
    </row>
    <row r="331">
      <c r="A331" s="217"/>
      <c r="B331" s="217"/>
      <c r="C331" s="228" t="s">
        <v>1256</v>
      </c>
      <c r="D331" s="228" t="s">
        <v>270</v>
      </c>
      <c r="E331" s="217"/>
      <c r="F331" s="217"/>
      <c r="G331" s="34"/>
      <c r="H331" s="211" t="s">
        <v>1227</v>
      </c>
      <c r="I331" s="212">
        <v>167.0</v>
      </c>
      <c r="J331" s="220" t="s">
        <v>1340</v>
      </c>
      <c r="K331" s="34"/>
      <c r="L331" s="34"/>
      <c r="M331" s="34"/>
      <c r="N331" s="34"/>
      <c r="O331" s="34"/>
      <c r="P331" s="34"/>
      <c r="Q331" s="34"/>
      <c r="R331" s="217"/>
      <c r="S331" s="217"/>
    </row>
    <row r="332">
      <c r="A332" s="217"/>
      <c r="B332" s="217"/>
      <c r="C332" s="228" t="s">
        <v>1258</v>
      </c>
      <c r="D332" s="228" t="s">
        <v>270</v>
      </c>
      <c r="E332" s="217"/>
      <c r="F332" s="217"/>
      <c r="G332" s="34"/>
      <c r="H332" s="211" t="s">
        <v>483</v>
      </c>
      <c r="I332" s="212">
        <v>13.0</v>
      </c>
      <c r="J332" s="220" t="s">
        <v>1341</v>
      </c>
      <c r="K332" s="34"/>
      <c r="L332" s="34"/>
      <c r="M332" s="34"/>
      <c r="N332" s="34"/>
      <c r="O332" s="34"/>
      <c r="P332" s="34"/>
      <c r="Q332" s="34"/>
      <c r="R332" s="217"/>
      <c r="S332" s="217"/>
    </row>
    <row r="333">
      <c r="A333" s="217"/>
      <c r="B333" s="217"/>
      <c r="C333" s="228" t="s">
        <v>1276</v>
      </c>
      <c r="D333" s="228" t="s">
        <v>270</v>
      </c>
      <c r="E333" s="217"/>
      <c r="F333" s="217"/>
      <c r="G333" s="34"/>
      <c r="H333" s="211" t="s">
        <v>798</v>
      </c>
      <c r="I333" s="212">
        <v>220.0</v>
      </c>
      <c r="J333" s="220" t="s">
        <v>1342</v>
      </c>
      <c r="K333" s="34"/>
      <c r="L333" s="34"/>
      <c r="M333" s="34"/>
      <c r="N333" s="34"/>
      <c r="O333" s="34"/>
      <c r="P333" s="34"/>
      <c r="Q333" s="34"/>
      <c r="R333" s="217"/>
      <c r="S333" s="217"/>
    </row>
    <row r="334">
      <c r="A334" s="217"/>
      <c r="B334" s="217"/>
      <c r="C334" s="228" t="s">
        <v>1343</v>
      </c>
      <c r="D334" s="228" t="s">
        <v>270</v>
      </c>
      <c r="E334" s="217"/>
      <c r="F334" s="217"/>
      <c r="G334" s="34"/>
      <c r="H334" s="211" t="s">
        <v>489</v>
      </c>
      <c r="I334" s="212">
        <v>190.0</v>
      </c>
      <c r="J334" s="220" t="s">
        <v>1344</v>
      </c>
      <c r="K334" s="34"/>
      <c r="L334" s="34"/>
      <c r="M334" s="34"/>
      <c r="N334" s="34"/>
      <c r="O334" s="34"/>
      <c r="P334" s="34"/>
      <c r="Q334" s="34"/>
      <c r="R334" s="217"/>
      <c r="S334" s="217"/>
    </row>
    <row r="335">
      <c r="A335" s="217"/>
      <c r="B335" s="217"/>
      <c r="C335" s="228" t="s">
        <v>1345</v>
      </c>
      <c r="D335" s="228" t="s">
        <v>270</v>
      </c>
      <c r="E335" s="217"/>
      <c r="F335" s="217"/>
      <c r="G335" s="34"/>
      <c r="H335" s="211" t="s">
        <v>803</v>
      </c>
      <c r="I335" s="212">
        <v>223.0</v>
      </c>
      <c r="J335" s="220" t="s">
        <v>1346</v>
      </c>
      <c r="K335" s="34"/>
      <c r="L335" s="34"/>
      <c r="M335" s="34"/>
      <c r="N335" s="34"/>
      <c r="O335" s="34"/>
      <c r="P335" s="34"/>
      <c r="Q335" s="34"/>
      <c r="R335" s="217"/>
      <c r="S335" s="217"/>
    </row>
    <row r="336">
      <c r="A336" s="217"/>
      <c r="B336" s="217"/>
      <c r="C336" s="228" t="s">
        <v>1347</v>
      </c>
      <c r="D336" s="228" t="s">
        <v>270</v>
      </c>
      <c r="E336" s="217"/>
      <c r="F336" s="217"/>
      <c r="G336" s="34"/>
      <c r="H336" s="211" t="s">
        <v>825</v>
      </c>
      <c r="I336" s="212">
        <v>227.0</v>
      </c>
      <c r="J336" s="220" t="s">
        <v>1348</v>
      </c>
      <c r="K336" s="34"/>
      <c r="L336" s="34"/>
      <c r="M336" s="34"/>
      <c r="N336" s="34"/>
      <c r="O336" s="34"/>
      <c r="P336" s="34"/>
      <c r="Q336" s="34"/>
      <c r="R336" s="217"/>
      <c r="S336" s="217"/>
    </row>
    <row r="337">
      <c r="A337" s="217"/>
      <c r="B337" s="217"/>
      <c r="C337" s="228" t="s">
        <v>1349</v>
      </c>
      <c r="D337" s="228" t="s">
        <v>270</v>
      </c>
      <c r="E337" s="217"/>
      <c r="F337" s="217"/>
      <c r="G337" s="34"/>
      <c r="H337" s="211" t="s">
        <v>1350</v>
      </c>
      <c r="I337" s="212">
        <v>549.0</v>
      </c>
      <c r="J337" s="220" t="s">
        <v>1351</v>
      </c>
      <c r="K337" s="34"/>
      <c r="L337" s="34"/>
      <c r="M337" s="34"/>
      <c r="N337" s="34"/>
      <c r="O337" s="34"/>
      <c r="P337" s="34"/>
      <c r="Q337" s="34"/>
      <c r="R337" s="217"/>
      <c r="S337" s="217"/>
    </row>
    <row r="338">
      <c r="A338" s="217"/>
      <c r="B338" s="217"/>
      <c r="C338" s="228" t="s">
        <v>949</v>
      </c>
      <c r="D338" s="228" t="s">
        <v>270</v>
      </c>
      <c r="E338" s="217"/>
      <c r="F338" s="217"/>
      <c r="G338" s="34"/>
      <c r="H338" s="211" t="s">
        <v>1153</v>
      </c>
      <c r="I338" s="212">
        <v>127.0</v>
      </c>
      <c r="J338" s="220" t="s">
        <v>1352</v>
      </c>
      <c r="K338" s="34"/>
      <c r="L338" s="34"/>
      <c r="M338" s="34"/>
      <c r="N338" s="34"/>
      <c r="O338" s="34"/>
      <c r="P338" s="34"/>
      <c r="Q338" s="34"/>
      <c r="R338" s="217"/>
      <c r="S338" s="217"/>
    </row>
    <row r="339">
      <c r="A339" s="217"/>
      <c r="B339" s="217"/>
      <c r="C339" s="228" t="s">
        <v>1350</v>
      </c>
      <c r="D339" s="228" t="s">
        <v>270</v>
      </c>
      <c r="E339" s="217"/>
      <c r="F339" s="217"/>
      <c r="G339" s="34"/>
      <c r="H339" s="211" t="s">
        <v>495</v>
      </c>
      <c r="I339" s="212">
        <v>11.0</v>
      </c>
      <c r="J339" s="220" t="s">
        <v>1353</v>
      </c>
      <c r="K339" s="34"/>
      <c r="L339" s="34"/>
      <c r="M339" s="34"/>
      <c r="N339" s="34"/>
      <c r="O339" s="34"/>
      <c r="P339" s="34"/>
      <c r="Q339" s="34"/>
      <c r="R339" s="217"/>
      <c r="S339" s="217"/>
    </row>
    <row r="340">
      <c r="A340" s="217"/>
      <c r="B340" s="217"/>
      <c r="C340" s="228" t="s">
        <v>1354</v>
      </c>
      <c r="D340" s="228" t="s">
        <v>270</v>
      </c>
      <c r="E340" s="217"/>
      <c r="F340" s="217"/>
      <c r="G340" s="34"/>
      <c r="H340" s="211" t="s">
        <v>466</v>
      </c>
      <c r="I340" s="212">
        <v>268.0</v>
      </c>
      <c r="J340" s="220" t="s">
        <v>1355</v>
      </c>
      <c r="K340" s="34"/>
      <c r="L340" s="34"/>
      <c r="M340" s="34"/>
      <c r="N340" s="34"/>
      <c r="O340" s="34"/>
      <c r="P340" s="34"/>
      <c r="Q340" s="34"/>
      <c r="R340" s="217"/>
      <c r="S340" s="217"/>
    </row>
    <row r="341">
      <c r="A341" s="217"/>
      <c r="B341" s="217"/>
      <c r="C341" s="228" t="s">
        <v>1356</v>
      </c>
      <c r="D341" s="228" t="s">
        <v>270</v>
      </c>
      <c r="E341" s="217"/>
      <c r="F341" s="217"/>
      <c r="G341" s="34"/>
      <c r="H341" s="211" t="s">
        <v>473</v>
      </c>
      <c r="I341" s="212">
        <v>269.0</v>
      </c>
      <c r="J341" s="220" t="s">
        <v>1357</v>
      </c>
      <c r="K341" s="34"/>
      <c r="L341" s="34"/>
      <c r="M341" s="34"/>
      <c r="N341" s="34"/>
      <c r="O341" s="34"/>
      <c r="P341" s="34"/>
      <c r="Q341" s="34"/>
      <c r="R341" s="217"/>
      <c r="S341" s="217"/>
    </row>
    <row r="342">
      <c r="A342" s="217"/>
      <c r="B342" s="217"/>
      <c r="C342" s="228" t="s">
        <v>1358</v>
      </c>
      <c r="D342" s="228" t="s">
        <v>270</v>
      </c>
      <c r="E342" s="217"/>
      <c r="F342" s="217"/>
      <c r="G342" s="34"/>
      <c r="H342" s="211" t="s">
        <v>1157</v>
      </c>
      <c r="I342" s="212">
        <v>128.0</v>
      </c>
      <c r="J342" s="220" t="s">
        <v>1359</v>
      </c>
      <c r="K342" s="34"/>
      <c r="L342" s="34"/>
      <c r="M342" s="34"/>
      <c r="N342" s="34"/>
      <c r="O342" s="34"/>
      <c r="P342" s="34"/>
      <c r="Q342" s="34"/>
      <c r="R342" s="217"/>
      <c r="S342" s="217"/>
    </row>
    <row r="343">
      <c r="A343" s="217"/>
      <c r="B343" s="217"/>
      <c r="C343" s="228" t="s">
        <v>1360</v>
      </c>
      <c r="D343" s="228" t="s">
        <v>270</v>
      </c>
      <c r="E343" s="217"/>
      <c r="F343" s="217"/>
      <c r="G343" s="34"/>
      <c r="H343" s="211" t="s">
        <v>553</v>
      </c>
      <c r="I343" s="212">
        <v>253.0</v>
      </c>
      <c r="J343" s="220" t="s">
        <v>1361</v>
      </c>
      <c r="K343" s="34"/>
      <c r="L343" s="34"/>
      <c r="M343" s="34"/>
      <c r="N343" s="34"/>
      <c r="O343" s="34"/>
      <c r="P343" s="34"/>
      <c r="Q343" s="34"/>
      <c r="R343" s="217"/>
      <c r="S343" s="217"/>
    </row>
    <row r="344">
      <c r="A344" s="217"/>
      <c r="B344" s="217"/>
      <c r="C344" s="228" t="s">
        <v>537</v>
      </c>
      <c r="D344" s="228" t="s">
        <v>270</v>
      </c>
      <c r="E344" s="217"/>
      <c r="F344" s="217"/>
      <c r="G344" s="34"/>
      <c r="H344" s="211" t="s">
        <v>479</v>
      </c>
      <c r="I344" s="212">
        <v>270.0</v>
      </c>
      <c r="J344" s="220" t="s">
        <v>1362</v>
      </c>
      <c r="K344" s="34"/>
      <c r="L344" s="34"/>
      <c r="M344" s="34"/>
      <c r="N344" s="34"/>
      <c r="O344" s="34"/>
      <c r="P344" s="34"/>
      <c r="Q344" s="34"/>
      <c r="R344" s="217"/>
      <c r="S344" s="217"/>
    </row>
    <row r="345">
      <c r="A345" s="217"/>
      <c r="B345" s="217"/>
      <c r="C345" s="228" t="s">
        <v>610</v>
      </c>
      <c r="D345" s="228" t="s">
        <v>270</v>
      </c>
      <c r="E345" s="217"/>
      <c r="F345" s="217"/>
      <c r="G345" s="34"/>
      <c r="H345" s="211" t="s">
        <v>703</v>
      </c>
      <c r="I345" s="212">
        <v>322.0</v>
      </c>
      <c r="J345" s="220" t="s">
        <v>1363</v>
      </c>
      <c r="K345" s="34"/>
      <c r="L345" s="34"/>
      <c r="M345" s="34"/>
      <c r="N345" s="34"/>
      <c r="O345" s="34"/>
      <c r="P345" s="34"/>
      <c r="Q345" s="34"/>
      <c r="R345" s="217"/>
      <c r="S345" s="217"/>
    </row>
    <row r="346">
      <c r="A346" s="217"/>
      <c r="B346" s="217"/>
      <c r="C346" s="228" t="s">
        <v>1029</v>
      </c>
      <c r="D346" s="228" t="s">
        <v>270</v>
      </c>
      <c r="E346" s="217"/>
      <c r="F346" s="217"/>
      <c r="G346" s="34"/>
      <c r="H346" s="211" t="s">
        <v>1364</v>
      </c>
      <c r="I346" s="212">
        <v>587.0</v>
      </c>
      <c r="J346" s="220" t="s">
        <v>1365</v>
      </c>
      <c r="K346" s="34"/>
      <c r="L346" s="34"/>
      <c r="M346" s="34"/>
      <c r="N346" s="34"/>
      <c r="O346" s="34"/>
      <c r="P346" s="34"/>
      <c r="Q346" s="34"/>
      <c r="R346" s="217"/>
      <c r="S346" s="217"/>
    </row>
    <row r="347">
      <c r="A347" s="217"/>
      <c r="B347" s="217"/>
      <c r="C347" s="228" t="s">
        <v>1033</v>
      </c>
      <c r="D347" s="228" t="s">
        <v>270</v>
      </c>
      <c r="E347" s="217"/>
      <c r="F347" s="217"/>
      <c r="G347" s="34"/>
      <c r="H347" s="211" t="s">
        <v>708</v>
      </c>
      <c r="I347" s="212">
        <v>323.0</v>
      </c>
      <c r="J347" s="220" t="s">
        <v>1366</v>
      </c>
      <c r="K347" s="34"/>
      <c r="L347" s="34"/>
      <c r="M347" s="34"/>
      <c r="N347" s="34"/>
      <c r="O347" s="34"/>
      <c r="P347" s="34"/>
      <c r="Q347" s="34"/>
      <c r="R347" s="217"/>
      <c r="S347" s="217"/>
    </row>
    <row r="348">
      <c r="A348" s="217"/>
      <c r="B348" s="217"/>
      <c r="C348" s="228" t="s">
        <v>1246</v>
      </c>
      <c r="D348" s="228" t="s">
        <v>270</v>
      </c>
      <c r="E348" s="217"/>
      <c r="F348" s="217"/>
      <c r="G348" s="34"/>
      <c r="H348" s="211" t="s">
        <v>1367</v>
      </c>
      <c r="I348" s="212">
        <v>577.0</v>
      </c>
      <c r="J348" s="220" t="s">
        <v>1368</v>
      </c>
      <c r="K348" s="34"/>
      <c r="L348" s="34"/>
      <c r="M348" s="34"/>
      <c r="N348" s="34"/>
      <c r="O348" s="34"/>
      <c r="P348" s="34"/>
      <c r="Q348" s="34"/>
      <c r="R348" s="217"/>
      <c r="S348" s="217"/>
    </row>
    <row r="349">
      <c r="A349" s="217"/>
      <c r="B349" s="217"/>
      <c r="C349" s="228" t="s">
        <v>1369</v>
      </c>
      <c r="D349" s="228" t="s">
        <v>270</v>
      </c>
      <c r="E349" s="217"/>
      <c r="F349" s="217"/>
      <c r="G349" s="34"/>
      <c r="H349" s="211" t="s">
        <v>1370</v>
      </c>
      <c r="I349" s="212">
        <v>585.0</v>
      </c>
      <c r="J349" s="220" t="s">
        <v>1371</v>
      </c>
      <c r="K349" s="34"/>
      <c r="L349" s="34"/>
      <c r="M349" s="34"/>
      <c r="N349" s="34"/>
      <c r="O349" s="34"/>
      <c r="P349" s="34"/>
      <c r="Q349" s="34"/>
      <c r="R349" s="217"/>
      <c r="S349" s="217"/>
    </row>
    <row r="350">
      <c r="A350" s="217"/>
      <c r="B350" s="217"/>
      <c r="C350" s="228" t="s">
        <v>1372</v>
      </c>
      <c r="D350" s="228" t="s">
        <v>270</v>
      </c>
      <c r="E350" s="217"/>
      <c r="F350" s="217"/>
      <c r="G350" s="34"/>
      <c r="H350" s="211" t="s">
        <v>1373</v>
      </c>
      <c r="I350" s="212">
        <v>586.0</v>
      </c>
      <c r="J350" s="220" t="s">
        <v>1374</v>
      </c>
      <c r="K350" s="34"/>
      <c r="L350" s="34"/>
      <c r="M350" s="34"/>
      <c r="N350" s="34"/>
      <c r="O350" s="34"/>
      <c r="P350" s="34"/>
      <c r="Q350" s="34"/>
      <c r="R350" s="217"/>
      <c r="S350" s="217"/>
    </row>
    <row r="351">
      <c r="A351" s="217"/>
      <c r="B351" s="217"/>
      <c r="C351" s="217"/>
      <c r="D351" s="217"/>
      <c r="E351" s="217"/>
      <c r="F351" s="217"/>
      <c r="G351" s="34"/>
      <c r="H351" s="211" t="s">
        <v>1375</v>
      </c>
      <c r="I351" s="212">
        <v>588.0</v>
      </c>
      <c r="J351" s="220" t="s">
        <v>1376</v>
      </c>
      <c r="K351" s="34"/>
      <c r="L351" s="34"/>
      <c r="M351" s="34"/>
      <c r="N351" s="34"/>
      <c r="O351" s="34"/>
      <c r="P351" s="34"/>
      <c r="Q351" s="34"/>
      <c r="R351" s="217"/>
      <c r="S351" s="217"/>
    </row>
    <row r="352">
      <c r="A352" s="217"/>
      <c r="B352" s="217"/>
      <c r="C352" s="217"/>
      <c r="D352" s="217"/>
      <c r="E352" s="217"/>
      <c r="F352" s="217"/>
      <c r="G352" s="34"/>
      <c r="H352" s="211" t="s">
        <v>1161</v>
      </c>
      <c r="I352" s="212">
        <v>440.0</v>
      </c>
      <c r="J352" s="220" t="s">
        <v>1377</v>
      </c>
      <c r="K352" s="34"/>
      <c r="L352" s="34"/>
      <c r="M352" s="34"/>
      <c r="N352" s="34"/>
      <c r="O352" s="34"/>
      <c r="P352" s="34"/>
      <c r="Q352" s="34"/>
      <c r="R352" s="217"/>
      <c r="S352" s="217"/>
    </row>
    <row r="353">
      <c r="A353" s="217"/>
      <c r="B353" s="217"/>
      <c r="C353" s="217"/>
      <c r="D353" s="217"/>
      <c r="E353" s="217"/>
      <c r="F353" s="217"/>
      <c r="G353" s="34"/>
      <c r="H353" s="211" t="s">
        <v>807</v>
      </c>
      <c r="I353" s="212">
        <v>17.0</v>
      </c>
      <c r="J353" s="220" t="s">
        <v>1378</v>
      </c>
      <c r="K353" s="34"/>
      <c r="L353" s="34"/>
      <c r="M353" s="34"/>
      <c r="N353" s="34"/>
      <c r="O353" s="34"/>
      <c r="P353" s="34"/>
      <c r="Q353" s="34"/>
      <c r="R353" s="217"/>
      <c r="S353" s="217"/>
    </row>
    <row r="354">
      <c r="A354" s="217"/>
      <c r="B354" s="217"/>
      <c r="C354" s="217"/>
      <c r="D354" s="217"/>
      <c r="E354" s="217"/>
      <c r="F354" s="217"/>
      <c r="G354" s="34"/>
      <c r="H354" s="211" t="s">
        <v>1049</v>
      </c>
      <c r="I354" s="212">
        <v>85.0</v>
      </c>
      <c r="J354" s="220" t="s">
        <v>1379</v>
      </c>
      <c r="K354" s="34"/>
      <c r="L354" s="34"/>
      <c r="M354" s="34"/>
      <c r="N354" s="34"/>
      <c r="O354" s="34"/>
      <c r="P354" s="34"/>
      <c r="Q354" s="34"/>
      <c r="R354" s="217"/>
      <c r="S354" s="217"/>
    </row>
    <row r="355">
      <c r="A355" s="217"/>
      <c r="B355" s="217"/>
      <c r="C355" s="217"/>
      <c r="D355" s="217"/>
      <c r="E355" s="217"/>
      <c r="F355" s="217"/>
      <c r="G355" s="34"/>
      <c r="H355" s="211" t="s">
        <v>713</v>
      </c>
      <c r="I355" s="212">
        <v>324.0</v>
      </c>
      <c r="J355" s="220" t="s">
        <v>1380</v>
      </c>
      <c r="K355" s="34"/>
      <c r="L355" s="34"/>
      <c r="M355" s="34"/>
      <c r="N355" s="34"/>
      <c r="O355" s="34"/>
      <c r="P355" s="34"/>
      <c r="Q355" s="34"/>
      <c r="R355" s="217"/>
      <c r="S355" s="217"/>
    </row>
    <row r="356">
      <c r="A356" s="217"/>
      <c r="B356" s="217"/>
      <c r="C356" s="217"/>
      <c r="D356" s="217"/>
      <c r="E356" s="217"/>
      <c r="F356" s="217"/>
      <c r="G356" s="34"/>
      <c r="H356" s="211" t="s">
        <v>1053</v>
      </c>
      <c r="I356" s="212">
        <v>86.0</v>
      </c>
      <c r="J356" s="220" t="s">
        <v>1381</v>
      </c>
      <c r="K356" s="34"/>
      <c r="L356" s="34"/>
      <c r="M356" s="34"/>
      <c r="N356" s="34"/>
      <c r="O356" s="34"/>
      <c r="P356" s="34"/>
      <c r="Q356" s="34"/>
      <c r="R356" s="217"/>
      <c r="S356" s="217"/>
    </row>
    <row r="357">
      <c r="A357" s="217"/>
      <c r="B357" s="217"/>
      <c r="C357" s="217"/>
      <c r="D357" s="217"/>
      <c r="E357" s="217"/>
      <c r="F357" s="217"/>
      <c r="G357" s="34"/>
      <c r="H357" s="211" t="s">
        <v>1343</v>
      </c>
      <c r="I357" s="212">
        <v>422.0</v>
      </c>
      <c r="J357" s="220" t="s">
        <v>1382</v>
      </c>
      <c r="K357" s="34"/>
      <c r="L357" s="34"/>
      <c r="M357" s="34"/>
      <c r="N357" s="34"/>
      <c r="O357" s="34"/>
      <c r="P357" s="34"/>
      <c r="Q357" s="34"/>
      <c r="R357" s="217"/>
      <c r="S357" s="217"/>
    </row>
    <row r="358">
      <c r="A358" s="217"/>
      <c r="B358" s="217"/>
      <c r="C358" s="217"/>
      <c r="D358" s="217"/>
      <c r="E358" s="217"/>
      <c r="F358" s="217"/>
      <c r="G358" s="34"/>
      <c r="H358" s="211" t="s">
        <v>362</v>
      </c>
      <c r="I358" s="212">
        <v>542.0</v>
      </c>
      <c r="J358" s="220" t="s">
        <v>1383</v>
      </c>
      <c r="K358" s="34"/>
      <c r="L358" s="34"/>
      <c r="M358" s="34"/>
      <c r="N358" s="34"/>
      <c r="O358" s="34"/>
      <c r="P358" s="34"/>
      <c r="Q358" s="34"/>
      <c r="R358" s="217"/>
      <c r="S358" s="217"/>
    </row>
    <row r="359">
      <c r="A359" s="217"/>
      <c r="B359" s="217"/>
      <c r="C359" s="217"/>
      <c r="D359" s="217"/>
      <c r="E359" s="217"/>
      <c r="F359" s="217"/>
      <c r="G359" s="34"/>
      <c r="H359" s="211" t="s">
        <v>939</v>
      </c>
      <c r="I359" s="212">
        <v>88.0</v>
      </c>
      <c r="J359" s="220" t="s">
        <v>1384</v>
      </c>
      <c r="K359" s="34"/>
      <c r="L359" s="34"/>
      <c r="M359" s="34"/>
      <c r="N359" s="34"/>
      <c r="O359" s="34"/>
      <c r="P359" s="34"/>
      <c r="Q359" s="34"/>
      <c r="R359" s="217"/>
      <c r="S359" s="217"/>
    </row>
    <row r="360">
      <c r="A360" s="217"/>
      <c r="B360" s="217"/>
      <c r="C360" s="217"/>
      <c r="D360" s="217"/>
      <c r="E360" s="217"/>
      <c r="F360" s="217"/>
      <c r="G360" s="34"/>
      <c r="H360" s="211" t="s">
        <v>485</v>
      </c>
      <c r="I360" s="212">
        <v>14.0</v>
      </c>
      <c r="J360" s="220" t="s">
        <v>1385</v>
      </c>
      <c r="K360" s="34"/>
      <c r="L360" s="34"/>
      <c r="M360" s="34"/>
      <c r="N360" s="34"/>
      <c r="O360" s="34"/>
      <c r="P360" s="34"/>
      <c r="Q360" s="34"/>
      <c r="R360" s="217"/>
      <c r="S360" s="217"/>
    </row>
    <row r="361">
      <c r="A361" s="217"/>
      <c r="B361" s="217"/>
      <c r="C361" s="217"/>
      <c r="D361" s="217"/>
      <c r="E361" s="217"/>
      <c r="F361" s="217"/>
      <c r="G361" s="34"/>
      <c r="H361" s="211" t="s">
        <v>485</v>
      </c>
      <c r="I361" s="212">
        <v>271.0</v>
      </c>
      <c r="J361" s="220" t="s">
        <v>1386</v>
      </c>
      <c r="K361" s="34"/>
      <c r="L361" s="34"/>
      <c r="M361" s="34"/>
      <c r="N361" s="34"/>
      <c r="O361" s="34"/>
      <c r="P361" s="34"/>
      <c r="Q361" s="34"/>
      <c r="R361" s="217"/>
      <c r="S361" s="217"/>
    </row>
    <row r="362">
      <c r="A362" s="217"/>
      <c r="B362" s="217"/>
      <c r="C362" s="217"/>
      <c r="D362" s="217"/>
      <c r="E362" s="217"/>
      <c r="F362" s="217"/>
      <c r="G362" s="34"/>
      <c r="H362" s="211" t="s">
        <v>557</v>
      </c>
      <c r="I362" s="212">
        <v>254.0</v>
      </c>
      <c r="J362" s="220" t="s">
        <v>1387</v>
      </c>
      <c r="K362" s="34"/>
      <c r="L362" s="34"/>
      <c r="M362" s="34"/>
      <c r="N362" s="34"/>
      <c r="O362" s="34"/>
      <c r="P362" s="34"/>
      <c r="Q362" s="34"/>
      <c r="R362" s="217"/>
      <c r="S362" s="217"/>
    </row>
    <row r="363">
      <c r="A363" s="217"/>
      <c r="B363" s="217"/>
      <c r="C363" s="217"/>
      <c r="D363" s="217"/>
      <c r="E363" s="217"/>
      <c r="F363" s="217"/>
      <c r="G363" s="34"/>
      <c r="H363" s="211" t="s">
        <v>930</v>
      </c>
      <c r="I363" s="212">
        <v>206.0</v>
      </c>
      <c r="J363" s="220" t="s">
        <v>1388</v>
      </c>
      <c r="K363" s="34"/>
      <c r="L363" s="34"/>
      <c r="M363" s="34"/>
      <c r="N363" s="34"/>
      <c r="O363" s="34"/>
      <c r="P363" s="34"/>
      <c r="Q363" s="34"/>
      <c r="R363" s="217"/>
      <c r="S363" s="217"/>
    </row>
    <row r="364">
      <c r="A364" s="217"/>
      <c r="B364" s="217"/>
      <c r="C364" s="217"/>
      <c r="D364" s="217"/>
      <c r="E364" s="217"/>
      <c r="F364" s="217"/>
      <c r="G364" s="34"/>
      <c r="H364" s="211" t="s">
        <v>717</v>
      </c>
      <c r="I364" s="212">
        <v>325.0</v>
      </c>
      <c r="J364" s="220" t="s">
        <v>1389</v>
      </c>
      <c r="K364" s="34"/>
      <c r="L364" s="34"/>
      <c r="M364" s="34"/>
      <c r="N364" s="34"/>
      <c r="O364" s="34"/>
      <c r="P364" s="34"/>
      <c r="Q364" s="34"/>
      <c r="R364" s="217"/>
      <c r="S364" s="217"/>
    </row>
    <row r="365">
      <c r="A365" s="217"/>
      <c r="B365" s="217"/>
      <c r="C365" s="217"/>
      <c r="D365" s="217"/>
      <c r="E365" s="217"/>
      <c r="F365" s="217"/>
      <c r="G365" s="34"/>
      <c r="H365" s="211" t="s">
        <v>367</v>
      </c>
      <c r="I365" s="212">
        <v>240.0</v>
      </c>
      <c r="J365" s="220" t="s">
        <v>1390</v>
      </c>
      <c r="K365" s="34"/>
      <c r="L365" s="34"/>
      <c r="M365" s="34"/>
      <c r="N365" s="34"/>
      <c r="O365" s="34"/>
      <c r="P365" s="34"/>
      <c r="Q365" s="34"/>
      <c r="R365" s="217"/>
      <c r="S365" s="217"/>
    </row>
    <row r="366">
      <c r="A366" s="217"/>
      <c r="B366" s="217"/>
      <c r="C366" s="217"/>
      <c r="D366" s="217"/>
      <c r="E366" s="217"/>
      <c r="F366" s="217"/>
      <c r="G366" s="34"/>
      <c r="H366" s="211" t="s">
        <v>1164</v>
      </c>
      <c r="I366" s="212">
        <v>441.0</v>
      </c>
      <c r="J366" s="220" t="s">
        <v>1391</v>
      </c>
      <c r="K366" s="34"/>
      <c r="L366" s="34"/>
      <c r="M366" s="34"/>
      <c r="N366" s="34"/>
      <c r="O366" s="34"/>
      <c r="P366" s="34"/>
      <c r="Q366" s="34"/>
      <c r="R366" s="217"/>
      <c r="S366" s="217"/>
    </row>
    <row r="367">
      <c r="A367" s="217"/>
      <c r="B367" s="217"/>
      <c r="C367" s="217"/>
      <c r="D367" s="217"/>
      <c r="E367" s="217"/>
      <c r="F367" s="217"/>
      <c r="G367" s="34"/>
      <c r="H367" s="211" t="s">
        <v>1369</v>
      </c>
      <c r="I367" s="212">
        <v>531.0</v>
      </c>
      <c r="J367" s="220" t="s">
        <v>1392</v>
      </c>
      <c r="K367" s="34"/>
      <c r="L367" s="34"/>
      <c r="M367" s="34"/>
      <c r="N367" s="34"/>
      <c r="O367" s="34"/>
      <c r="P367" s="34"/>
      <c r="Q367" s="34"/>
      <c r="R367" s="217"/>
      <c r="S367" s="217"/>
    </row>
    <row r="368">
      <c r="A368" s="217"/>
      <c r="B368" s="217"/>
      <c r="C368" s="217"/>
      <c r="D368" s="217"/>
      <c r="E368" s="217"/>
      <c r="F368" s="217"/>
      <c r="G368" s="34"/>
      <c r="H368" s="211" t="s">
        <v>1345</v>
      </c>
      <c r="I368" s="212">
        <v>423.0</v>
      </c>
      <c r="J368" s="220" t="s">
        <v>1393</v>
      </c>
      <c r="K368" s="34"/>
      <c r="L368" s="34"/>
      <c r="M368" s="34"/>
      <c r="N368" s="34"/>
      <c r="O368" s="34"/>
      <c r="P368" s="34"/>
      <c r="Q368" s="34"/>
      <c r="R368" s="217"/>
      <c r="S368" s="217"/>
    </row>
    <row r="369">
      <c r="A369" s="217"/>
      <c r="B369" s="217"/>
      <c r="C369" s="217"/>
      <c r="D369" s="217"/>
      <c r="E369" s="217"/>
      <c r="F369" s="217"/>
      <c r="G369" s="34"/>
      <c r="H369" s="211" t="s">
        <v>967</v>
      </c>
      <c r="I369" s="212">
        <v>250.0</v>
      </c>
      <c r="J369" s="220" t="s">
        <v>1394</v>
      </c>
      <c r="K369" s="34"/>
      <c r="L369" s="34"/>
      <c r="M369" s="34"/>
      <c r="N369" s="34"/>
      <c r="O369" s="34"/>
      <c r="P369" s="34"/>
      <c r="Q369" s="34"/>
      <c r="R369" s="217"/>
      <c r="S369" s="217"/>
    </row>
    <row r="370">
      <c r="A370" s="217"/>
      <c r="B370" s="217"/>
      <c r="C370" s="217"/>
      <c r="D370" s="217"/>
      <c r="E370" s="217"/>
      <c r="F370" s="217"/>
      <c r="G370" s="34"/>
      <c r="H370" s="211" t="s">
        <v>1278</v>
      </c>
      <c r="I370" s="212">
        <v>285.0</v>
      </c>
      <c r="J370" s="220" t="s">
        <v>1395</v>
      </c>
      <c r="K370" s="34"/>
      <c r="L370" s="34"/>
      <c r="M370" s="34"/>
      <c r="N370" s="34"/>
      <c r="O370" s="34"/>
      <c r="P370" s="34"/>
      <c r="Q370" s="34"/>
      <c r="R370" s="217"/>
      <c r="S370" s="217"/>
    </row>
    <row r="371">
      <c r="A371" s="217"/>
      <c r="B371" s="217"/>
      <c r="C371" s="217"/>
      <c r="D371" s="217"/>
      <c r="E371" s="217"/>
      <c r="F371" s="217"/>
      <c r="G371" s="34"/>
      <c r="H371" s="211" t="s">
        <v>506</v>
      </c>
      <c r="I371" s="212">
        <v>52.0</v>
      </c>
      <c r="J371" s="220" t="s">
        <v>1396</v>
      </c>
      <c r="K371" s="34"/>
      <c r="L371" s="34"/>
      <c r="M371" s="34"/>
      <c r="N371" s="34"/>
      <c r="O371" s="34"/>
      <c r="P371" s="34"/>
      <c r="Q371" s="34"/>
      <c r="R371" s="217"/>
      <c r="S371" s="217"/>
    </row>
    <row r="372">
      <c r="A372" s="217"/>
      <c r="B372" s="217"/>
      <c r="C372" s="217"/>
      <c r="D372" s="217"/>
      <c r="E372" s="217"/>
      <c r="F372" s="217"/>
      <c r="G372" s="34"/>
      <c r="H372" s="211" t="s">
        <v>721</v>
      </c>
      <c r="I372" s="212">
        <v>326.0</v>
      </c>
      <c r="J372" s="220" t="s">
        <v>1397</v>
      </c>
      <c r="K372" s="34"/>
      <c r="L372" s="34"/>
      <c r="M372" s="34"/>
      <c r="N372" s="34"/>
      <c r="O372" s="34"/>
      <c r="P372" s="34"/>
      <c r="Q372" s="34"/>
      <c r="R372" s="217"/>
      <c r="S372" s="217"/>
    </row>
    <row r="373">
      <c r="A373" s="217"/>
      <c r="B373" s="217"/>
      <c r="C373" s="217"/>
      <c r="D373" s="217"/>
      <c r="E373" s="217"/>
      <c r="F373" s="217"/>
      <c r="G373" s="34"/>
      <c r="H373" s="211" t="s">
        <v>724</v>
      </c>
      <c r="I373" s="212">
        <v>327.0</v>
      </c>
      <c r="J373" s="220" t="s">
        <v>1398</v>
      </c>
      <c r="K373" s="34"/>
      <c r="L373" s="34"/>
      <c r="M373" s="34"/>
      <c r="N373" s="34"/>
      <c r="O373" s="34"/>
      <c r="P373" s="34"/>
      <c r="Q373" s="34"/>
      <c r="R373" s="217"/>
      <c r="S373" s="217"/>
    </row>
    <row r="374">
      <c r="A374" s="217"/>
      <c r="B374" s="217"/>
      <c r="C374" s="217"/>
      <c r="D374" s="217"/>
      <c r="E374" s="217"/>
      <c r="F374" s="217"/>
      <c r="G374" s="34"/>
      <c r="H374" s="211" t="s">
        <v>1103</v>
      </c>
      <c r="I374" s="212">
        <v>112.0</v>
      </c>
      <c r="J374" s="220" t="s">
        <v>1399</v>
      </c>
      <c r="K374" s="34"/>
      <c r="L374" s="34"/>
      <c r="M374" s="34"/>
      <c r="N374" s="34"/>
      <c r="O374" s="34"/>
      <c r="P374" s="34"/>
      <c r="Q374" s="34"/>
      <c r="R374" s="217"/>
      <c r="S374" s="217"/>
    </row>
    <row r="375">
      <c r="A375" s="217"/>
      <c r="B375" s="217"/>
      <c r="C375" s="217"/>
      <c r="D375" s="217"/>
      <c r="E375" s="217"/>
      <c r="F375" s="217"/>
      <c r="G375" s="34"/>
      <c r="H375" s="211" t="s">
        <v>491</v>
      </c>
      <c r="I375" s="212">
        <v>272.0</v>
      </c>
      <c r="J375" s="220" t="s">
        <v>1400</v>
      </c>
      <c r="K375" s="34"/>
      <c r="L375" s="34"/>
      <c r="M375" s="34"/>
      <c r="N375" s="34"/>
      <c r="O375" s="34"/>
      <c r="P375" s="34"/>
      <c r="Q375" s="34"/>
      <c r="R375" s="217"/>
      <c r="S375" s="217"/>
    </row>
    <row r="376">
      <c r="A376" s="217"/>
      <c r="B376" s="217"/>
      <c r="C376" s="217"/>
      <c r="D376" s="217"/>
      <c r="E376" s="217"/>
      <c r="F376" s="217"/>
      <c r="G376" s="34"/>
      <c r="H376" s="211" t="s">
        <v>511</v>
      </c>
      <c r="I376" s="212">
        <v>59.0</v>
      </c>
      <c r="J376" s="220" t="s">
        <v>1401</v>
      </c>
      <c r="K376" s="34"/>
      <c r="L376" s="34"/>
      <c r="M376" s="34"/>
      <c r="N376" s="34"/>
      <c r="O376" s="34"/>
      <c r="P376" s="34"/>
      <c r="Q376" s="34"/>
      <c r="R376" s="217"/>
      <c r="S376" s="217"/>
    </row>
    <row r="377">
      <c r="A377" s="217"/>
      <c r="B377" s="217"/>
      <c r="C377" s="217"/>
      <c r="D377" s="217"/>
      <c r="E377" s="217"/>
      <c r="F377" s="217"/>
      <c r="G377" s="34"/>
      <c r="H377" s="211" t="s">
        <v>1285</v>
      </c>
      <c r="I377" s="212">
        <v>287.0</v>
      </c>
      <c r="J377" s="220" t="s">
        <v>1402</v>
      </c>
      <c r="K377" s="34"/>
      <c r="L377" s="34"/>
      <c r="M377" s="34"/>
      <c r="N377" s="34"/>
      <c r="O377" s="34"/>
      <c r="P377" s="34"/>
      <c r="Q377" s="34"/>
      <c r="R377" s="217"/>
      <c r="S377" s="217"/>
    </row>
    <row r="378">
      <c r="A378" s="217"/>
      <c r="B378" s="217"/>
      <c r="C378" s="217"/>
      <c r="D378" s="217"/>
      <c r="E378" s="217"/>
      <c r="F378" s="217"/>
      <c r="G378" s="34"/>
      <c r="H378" s="211" t="s">
        <v>1175</v>
      </c>
      <c r="I378" s="212">
        <v>131.0</v>
      </c>
      <c r="J378" s="220" t="s">
        <v>1403</v>
      </c>
      <c r="K378" s="34"/>
      <c r="L378" s="34"/>
      <c r="M378" s="34"/>
      <c r="N378" s="34"/>
      <c r="O378" s="34"/>
      <c r="P378" s="34"/>
      <c r="Q378" s="34"/>
      <c r="R378" s="217"/>
      <c r="S378" s="217"/>
    </row>
    <row r="379">
      <c r="A379" s="217"/>
      <c r="B379" s="217"/>
      <c r="C379" s="217"/>
      <c r="D379" s="217"/>
      <c r="E379" s="217"/>
      <c r="F379" s="217"/>
      <c r="G379" s="34"/>
      <c r="H379" s="211" t="s">
        <v>942</v>
      </c>
      <c r="I379" s="212">
        <v>89.0</v>
      </c>
      <c r="J379" s="220" t="s">
        <v>1404</v>
      </c>
      <c r="K379" s="34"/>
      <c r="L379" s="34"/>
      <c r="M379" s="34"/>
      <c r="N379" s="34"/>
      <c r="O379" s="34"/>
      <c r="P379" s="34"/>
      <c r="Q379" s="34"/>
      <c r="R379" s="217"/>
      <c r="S379" s="217"/>
    </row>
    <row r="380">
      <c r="A380" s="217"/>
      <c r="B380" s="217"/>
      <c r="C380" s="217"/>
      <c r="D380" s="217"/>
      <c r="E380" s="217"/>
      <c r="F380" s="217"/>
      <c r="G380" s="34"/>
      <c r="H380" s="211" t="s">
        <v>1251</v>
      </c>
      <c r="I380" s="212">
        <v>191.0</v>
      </c>
      <c r="J380" s="220" t="s">
        <v>1405</v>
      </c>
      <c r="K380" s="34"/>
      <c r="L380" s="34"/>
      <c r="M380" s="34"/>
      <c r="N380" s="34"/>
      <c r="O380" s="34"/>
      <c r="P380" s="34"/>
      <c r="Q380" s="34"/>
      <c r="R380" s="217"/>
      <c r="S380" s="217"/>
    </row>
    <row r="381">
      <c r="A381" s="217"/>
      <c r="B381" s="217"/>
      <c r="C381" s="217"/>
      <c r="D381" s="217"/>
      <c r="E381" s="217"/>
      <c r="F381" s="217"/>
      <c r="G381" s="34"/>
      <c r="H381" s="211" t="s">
        <v>497</v>
      </c>
      <c r="I381" s="212">
        <v>273.0</v>
      </c>
      <c r="J381" s="220" t="s">
        <v>1406</v>
      </c>
      <c r="K381" s="34"/>
      <c r="L381" s="34"/>
      <c r="M381" s="34"/>
      <c r="N381" s="34"/>
      <c r="O381" s="34"/>
      <c r="P381" s="34"/>
      <c r="Q381" s="34"/>
      <c r="R381" s="217"/>
      <c r="S381" s="217"/>
    </row>
    <row r="382">
      <c r="A382" s="217"/>
      <c r="B382" s="217"/>
      <c r="C382" s="217"/>
      <c r="D382" s="217"/>
      <c r="E382" s="217"/>
      <c r="F382" s="217"/>
      <c r="G382" s="34"/>
      <c r="H382" s="211" t="s">
        <v>1298</v>
      </c>
      <c r="I382" s="212">
        <v>153.0</v>
      </c>
      <c r="J382" s="220" t="s">
        <v>1407</v>
      </c>
      <c r="K382" s="34"/>
      <c r="L382" s="34"/>
      <c r="M382" s="34"/>
      <c r="N382" s="34"/>
      <c r="O382" s="34"/>
      <c r="P382" s="34"/>
      <c r="Q382" s="34"/>
      <c r="R382" s="217"/>
      <c r="S382" s="217"/>
    </row>
    <row r="383">
      <c r="A383" s="217"/>
      <c r="B383" s="217"/>
      <c r="C383" s="217"/>
      <c r="D383" s="217"/>
      <c r="E383" s="217"/>
      <c r="F383" s="217"/>
      <c r="G383" s="34"/>
      <c r="H383" s="211" t="s">
        <v>1280</v>
      </c>
      <c r="I383" s="212">
        <v>286.0</v>
      </c>
      <c r="J383" s="220" t="s">
        <v>1408</v>
      </c>
      <c r="K383" s="34"/>
      <c r="L383" s="34"/>
      <c r="M383" s="34"/>
      <c r="N383" s="34"/>
      <c r="O383" s="34"/>
      <c r="P383" s="34"/>
      <c r="Q383" s="34"/>
      <c r="R383" s="217"/>
      <c r="S383" s="217"/>
    </row>
    <row r="384">
      <c r="A384" s="217"/>
      <c r="B384" s="217"/>
      <c r="C384" s="217"/>
      <c r="D384" s="217"/>
      <c r="E384" s="217"/>
      <c r="F384" s="217"/>
      <c r="G384" s="34"/>
      <c r="H384" s="211" t="s">
        <v>1347</v>
      </c>
      <c r="I384" s="212">
        <v>424.0</v>
      </c>
      <c r="J384" s="220" t="s">
        <v>1409</v>
      </c>
      <c r="K384" s="34"/>
      <c r="L384" s="34"/>
      <c r="M384" s="34"/>
      <c r="N384" s="34"/>
      <c r="O384" s="34"/>
      <c r="P384" s="34"/>
      <c r="Q384" s="34"/>
      <c r="R384" s="217"/>
      <c r="S384" s="217"/>
    </row>
    <row r="385">
      <c r="A385" s="217"/>
      <c r="B385" s="217"/>
      <c r="C385" s="217"/>
      <c r="D385" s="217"/>
      <c r="E385" s="217"/>
      <c r="F385" s="217"/>
      <c r="G385" s="34"/>
      <c r="H385" s="211" t="s">
        <v>372</v>
      </c>
      <c r="I385" s="212">
        <v>241.0</v>
      </c>
      <c r="J385" s="220" t="s">
        <v>1410</v>
      </c>
      <c r="K385" s="34"/>
      <c r="L385" s="34"/>
      <c r="M385" s="34"/>
      <c r="N385" s="34"/>
      <c r="O385" s="34"/>
      <c r="P385" s="34"/>
      <c r="Q385" s="34"/>
      <c r="R385" s="217"/>
      <c r="S385" s="217"/>
    </row>
    <row r="386">
      <c r="A386" s="217"/>
      <c r="B386" s="217"/>
      <c r="C386" s="217"/>
      <c r="D386" s="217"/>
      <c r="E386" s="217"/>
      <c r="F386" s="217"/>
      <c r="G386" s="34"/>
      <c r="H386" s="211" t="s">
        <v>1082</v>
      </c>
      <c r="I386" s="212">
        <v>101.0</v>
      </c>
      <c r="J386" s="220" t="s">
        <v>1411</v>
      </c>
      <c r="K386" s="34"/>
      <c r="L386" s="34"/>
      <c r="M386" s="34"/>
      <c r="N386" s="34"/>
      <c r="O386" s="34"/>
      <c r="P386" s="34"/>
      <c r="Q386" s="34"/>
      <c r="R386" s="217"/>
      <c r="S386" s="217"/>
    </row>
    <row r="387">
      <c r="A387" s="217"/>
      <c r="B387" s="217"/>
      <c r="C387" s="217"/>
      <c r="D387" s="217"/>
      <c r="E387" s="217"/>
      <c r="F387" s="217"/>
      <c r="G387" s="34"/>
      <c r="H387" s="211" t="s">
        <v>980</v>
      </c>
      <c r="I387" s="212">
        <v>192.0</v>
      </c>
      <c r="J387" s="220" t="s">
        <v>1412</v>
      </c>
      <c r="K387" s="34"/>
      <c r="L387" s="34"/>
      <c r="M387" s="34"/>
      <c r="N387" s="34"/>
      <c r="O387" s="34"/>
      <c r="P387" s="34"/>
      <c r="Q387" s="34"/>
      <c r="R387" s="217"/>
      <c r="S387" s="217"/>
    </row>
    <row r="388">
      <c r="A388" s="217"/>
      <c r="B388" s="217"/>
      <c r="C388" s="217"/>
      <c r="D388" s="217"/>
      <c r="E388" s="217"/>
      <c r="F388" s="217"/>
      <c r="G388" s="34"/>
      <c r="H388" s="211" t="s">
        <v>728</v>
      </c>
      <c r="I388" s="212">
        <v>328.0</v>
      </c>
      <c r="J388" s="220" t="s">
        <v>1413</v>
      </c>
      <c r="K388" s="34"/>
      <c r="L388" s="34"/>
      <c r="M388" s="34"/>
      <c r="N388" s="34"/>
      <c r="O388" s="34"/>
      <c r="P388" s="34"/>
      <c r="Q388" s="34"/>
      <c r="R388" s="217"/>
      <c r="S388" s="217"/>
    </row>
    <row r="389">
      <c r="A389" s="217"/>
      <c r="B389" s="217"/>
      <c r="C389" s="217"/>
      <c r="D389" s="217"/>
      <c r="E389" s="217"/>
      <c r="F389" s="217"/>
      <c r="G389" s="34"/>
      <c r="H389" s="211" t="s">
        <v>1414</v>
      </c>
      <c r="I389" s="212">
        <v>552.0</v>
      </c>
      <c r="J389" s="220" t="s">
        <v>1415</v>
      </c>
      <c r="K389" s="34"/>
      <c r="L389" s="34"/>
      <c r="M389" s="34"/>
      <c r="N389" s="34"/>
      <c r="O389" s="34"/>
      <c r="P389" s="34"/>
      <c r="Q389" s="34"/>
      <c r="R389" s="217"/>
      <c r="S389" s="217"/>
    </row>
    <row r="390">
      <c r="A390" s="217"/>
      <c r="B390" s="217"/>
      <c r="C390" s="217"/>
      <c r="D390" s="217"/>
      <c r="E390" s="217"/>
      <c r="F390" s="217"/>
      <c r="G390" s="34"/>
      <c r="H390" s="211" t="s">
        <v>767</v>
      </c>
      <c r="I390" s="212">
        <v>150.0</v>
      </c>
      <c r="J390" s="220" t="s">
        <v>1416</v>
      </c>
      <c r="K390" s="34"/>
      <c r="L390" s="34"/>
      <c r="M390" s="34"/>
      <c r="N390" s="34"/>
      <c r="O390" s="34"/>
      <c r="P390" s="34"/>
      <c r="Q390" s="34"/>
      <c r="R390" s="217"/>
      <c r="S390" s="217"/>
    </row>
    <row r="391">
      <c r="A391" s="217"/>
      <c r="B391" s="217"/>
      <c r="C391" s="217"/>
      <c r="D391" s="217"/>
      <c r="E391" s="217"/>
      <c r="F391" s="217"/>
      <c r="G391" s="34"/>
      <c r="H391" s="34" t="s">
        <v>378</v>
      </c>
      <c r="I391" s="231">
        <v>242.0</v>
      </c>
      <c r="J391" s="220" t="s">
        <v>1417</v>
      </c>
      <c r="K391" s="34"/>
      <c r="L391" s="34"/>
      <c r="M391" s="34"/>
      <c r="N391" s="34"/>
      <c r="O391" s="34"/>
      <c r="P391" s="34"/>
      <c r="Q391" s="34"/>
      <c r="R391" s="217"/>
      <c r="S391" s="217"/>
    </row>
    <row r="392">
      <c r="A392" s="217"/>
      <c r="B392" s="217"/>
      <c r="C392" s="217"/>
      <c r="D392" s="217"/>
      <c r="E392" s="217"/>
      <c r="F392" s="217"/>
      <c r="G392" s="34"/>
      <c r="H392" s="220" t="s">
        <v>987</v>
      </c>
      <c r="I392" s="231">
        <v>193.0</v>
      </c>
      <c r="J392" s="220" t="s">
        <v>1418</v>
      </c>
      <c r="K392" s="34"/>
      <c r="L392" s="34"/>
      <c r="M392" s="34"/>
      <c r="N392" s="34"/>
      <c r="O392" s="34"/>
      <c r="P392" s="34"/>
      <c r="Q392" s="34"/>
      <c r="R392" s="217"/>
      <c r="S392" s="217"/>
    </row>
    <row r="393">
      <c r="A393" s="217"/>
      <c r="B393" s="217"/>
      <c r="C393" s="217"/>
      <c r="D393" s="217"/>
      <c r="E393" s="217"/>
      <c r="F393" s="217"/>
      <c r="G393" s="34"/>
      <c r="H393" s="220" t="s">
        <v>502</v>
      </c>
      <c r="I393" s="231">
        <v>274.0</v>
      </c>
      <c r="J393" s="220" t="s">
        <v>1419</v>
      </c>
      <c r="K393" s="34"/>
      <c r="L393" s="34"/>
      <c r="M393" s="34"/>
      <c r="N393" s="34"/>
      <c r="O393" s="34"/>
      <c r="P393" s="34"/>
      <c r="Q393" s="34"/>
      <c r="R393" s="217"/>
      <c r="S393" s="217"/>
    </row>
    <row r="394">
      <c r="A394" s="217"/>
      <c r="B394" s="217"/>
      <c r="C394" s="217"/>
      <c r="D394" s="217"/>
      <c r="E394" s="217"/>
      <c r="F394" s="217"/>
      <c r="G394" s="34"/>
      <c r="H394" s="220" t="s">
        <v>1196</v>
      </c>
      <c r="I394" s="231">
        <v>140.0</v>
      </c>
      <c r="J394" s="220" t="s">
        <v>1167</v>
      </c>
      <c r="K394" s="34"/>
      <c r="L394" s="34"/>
      <c r="M394" s="34"/>
      <c r="N394" s="34"/>
      <c r="O394" s="34"/>
      <c r="P394" s="34"/>
      <c r="Q394" s="34"/>
      <c r="R394" s="217"/>
      <c r="S394" s="217"/>
    </row>
    <row r="395">
      <c r="A395" s="217"/>
      <c r="B395" s="217"/>
      <c r="C395" s="217"/>
      <c r="D395" s="217"/>
      <c r="E395" s="217"/>
      <c r="F395" s="217"/>
      <c r="G395" s="34"/>
      <c r="H395" s="220" t="s">
        <v>385</v>
      </c>
      <c r="I395" s="231">
        <v>243.0</v>
      </c>
      <c r="J395" s="220" t="s">
        <v>1420</v>
      </c>
      <c r="K395" s="34"/>
      <c r="L395" s="34"/>
      <c r="M395" s="34"/>
      <c r="N395" s="34"/>
      <c r="O395" s="34"/>
      <c r="P395" s="34"/>
      <c r="Q395" s="34"/>
      <c r="R395" s="217"/>
      <c r="S395" s="217"/>
    </row>
    <row r="396">
      <c r="A396" s="217"/>
      <c r="B396" s="217"/>
      <c r="C396" s="217"/>
      <c r="D396" s="217"/>
      <c r="E396" s="217"/>
      <c r="F396" s="217"/>
      <c r="G396" s="34"/>
      <c r="H396" s="220" t="s">
        <v>872</v>
      </c>
      <c r="I396" s="231">
        <v>183.0</v>
      </c>
      <c r="J396" s="220" t="s">
        <v>1421</v>
      </c>
      <c r="K396" s="34"/>
      <c r="L396" s="34"/>
      <c r="M396" s="34"/>
      <c r="N396" s="34"/>
      <c r="O396" s="34"/>
      <c r="P396" s="34"/>
      <c r="Q396" s="34"/>
      <c r="R396" s="217"/>
      <c r="S396" s="217"/>
    </row>
    <row r="397">
      <c r="A397" s="217"/>
      <c r="B397" s="217"/>
      <c r="C397" s="217"/>
      <c r="D397" s="217"/>
      <c r="E397" s="217"/>
      <c r="F397" s="217"/>
      <c r="G397" s="34"/>
      <c r="H397" s="220" t="s">
        <v>1084</v>
      </c>
      <c r="I397" s="231">
        <v>102.0</v>
      </c>
      <c r="J397" s="220" t="s">
        <v>1422</v>
      </c>
      <c r="K397" s="34"/>
      <c r="L397" s="34"/>
      <c r="M397" s="34"/>
      <c r="N397" s="34"/>
      <c r="O397" s="34"/>
      <c r="P397" s="34"/>
      <c r="Q397" s="34"/>
      <c r="R397" s="217"/>
      <c r="S397" s="217"/>
    </row>
    <row r="398">
      <c r="A398" s="217"/>
      <c r="B398" s="217"/>
      <c r="C398" s="217"/>
      <c r="D398" s="217"/>
      <c r="E398" s="217"/>
      <c r="F398" s="217"/>
      <c r="G398" s="34"/>
      <c r="H398" s="220" t="s">
        <v>1372</v>
      </c>
      <c r="I398" s="231">
        <v>532.0</v>
      </c>
      <c r="J398" s="220" t="s">
        <v>1423</v>
      </c>
      <c r="K398" s="34"/>
      <c r="L398" s="34"/>
      <c r="M398" s="34"/>
      <c r="N398" s="34"/>
      <c r="O398" s="34"/>
      <c r="P398" s="34"/>
      <c r="Q398" s="34"/>
      <c r="R398" s="217"/>
      <c r="S398" s="217"/>
    </row>
    <row r="399">
      <c r="A399" s="217"/>
      <c r="B399" s="217"/>
      <c r="C399" s="217"/>
      <c r="D399" s="217"/>
      <c r="E399" s="217"/>
      <c r="F399" s="217"/>
      <c r="G399" s="34"/>
      <c r="H399" s="220" t="s">
        <v>933</v>
      </c>
      <c r="I399" s="231">
        <v>207.0</v>
      </c>
      <c r="J399" s="220" t="s">
        <v>1424</v>
      </c>
      <c r="K399" s="34"/>
      <c r="L399" s="34"/>
      <c r="M399" s="34"/>
      <c r="N399" s="34"/>
      <c r="O399" s="34"/>
      <c r="P399" s="34"/>
      <c r="Q399" s="34"/>
      <c r="R399" s="217"/>
      <c r="S399" s="217"/>
    </row>
    <row r="400">
      <c r="A400" s="217"/>
      <c r="B400" s="217"/>
      <c r="C400" s="217"/>
      <c r="D400" s="217"/>
      <c r="E400" s="217"/>
      <c r="F400" s="217"/>
      <c r="G400" s="34"/>
      <c r="H400" s="220" t="s">
        <v>1198</v>
      </c>
      <c r="I400" s="231">
        <v>141.0</v>
      </c>
      <c r="J400" s="220" t="s">
        <v>1425</v>
      </c>
      <c r="K400" s="34"/>
      <c r="L400" s="34"/>
      <c r="M400" s="34"/>
      <c r="N400" s="34"/>
      <c r="O400" s="34"/>
      <c r="P400" s="34"/>
      <c r="Q400" s="34"/>
      <c r="R400" s="217"/>
      <c r="S400" s="217"/>
    </row>
    <row r="401">
      <c r="A401" s="217"/>
      <c r="B401" s="217"/>
      <c r="C401" s="217"/>
      <c r="D401" s="217"/>
      <c r="E401" s="217"/>
      <c r="F401" s="217"/>
      <c r="G401" s="34"/>
      <c r="H401" s="220" t="s">
        <v>733</v>
      </c>
      <c r="I401" s="231">
        <v>329.0</v>
      </c>
      <c r="J401" s="220" t="s">
        <v>1426</v>
      </c>
      <c r="K401" s="34"/>
      <c r="L401" s="34"/>
      <c r="M401" s="34"/>
      <c r="N401" s="34"/>
      <c r="O401" s="34"/>
      <c r="P401" s="34"/>
      <c r="Q401" s="34"/>
      <c r="R401" s="217"/>
      <c r="S401" s="217"/>
    </row>
    <row r="402">
      <c r="A402" s="217"/>
      <c r="B402" s="217"/>
      <c r="C402" s="217"/>
      <c r="D402" s="217"/>
      <c r="E402" s="217"/>
      <c r="F402" s="217"/>
      <c r="G402" s="34"/>
      <c r="H402" s="220" t="s">
        <v>1200</v>
      </c>
      <c r="I402" s="231">
        <v>142.0</v>
      </c>
      <c r="J402" s="220" t="s">
        <v>1427</v>
      </c>
      <c r="K402" s="34"/>
      <c r="L402" s="34"/>
      <c r="M402" s="34"/>
      <c r="N402" s="34"/>
      <c r="O402" s="34"/>
      <c r="P402" s="34"/>
      <c r="Q402" s="34"/>
      <c r="R402" s="217"/>
      <c r="S402" s="217"/>
    </row>
    <row r="403">
      <c r="A403" s="217"/>
      <c r="B403" s="217"/>
      <c r="C403" s="217"/>
      <c r="D403" s="217"/>
      <c r="E403" s="217"/>
      <c r="F403" s="217"/>
      <c r="G403" s="34"/>
      <c r="H403" s="220" t="s">
        <v>581</v>
      </c>
      <c r="I403" s="231">
        <v>280.0</v>
      </c>
      <c r="J403" s="220" t="s">
        <v>1428</v>
      </c>
      <c r="K403" s="34"/>
      <c r="L403" s="34"/>
      <c r="M403" s="34"/>
      <c r="N403" s="34"/>
      <c r="O403" s="34"/>
      <c r="P403" s="34"/>
      <c r="Q403" s="34"/>
      <c r="R403" s="217"/>
      <c r="S403" s="217"/>
    </row>
    <row r="404">
      <c r="A404" s="217"/>
      <c r="B404" s="217"/>
      <c r="C404" s="217"/>
      <c r="D404" s="217"/>
      <c r="E404" s="217"/>
      <c r="F404" s="217"/>
      <c r="G404" s="34"/>
      <c r="H404" s="220" t="s">
        <v>1106</v>
      </c>
      <c r="I404" s="231">
        <v>113.0</v>
      </c>
      <c r="J404" s="220" t="s">
        <v>1429</v>
      </c>
      <c r="K404" s="34"/>
      <c r="L404" s="34"/>
      <c r="M404" s="34"/>
      <c r="N404" s="34"/>
      <c r="O404" s="34"/>
      <c r="P404" s="34"/>
      <c r="Q404" s="34"/>
      <c r="R404" s="217"/>
      <c r="S404" s="217"/>
    </row>
    <row r="405">
      <c r="A405" s="217"/>
      <c r="B405" s="217"/>
      <c r="C405" s="217"/>
      <c r="D405" s="217"/>
      <c r="E405" s="217"/>
      <c r="F405" s="217"/>
      <c r="G405" s="34"/>
      <c r="H405" s="220" t="s">
        <v>1288</v>
      </c>
      <c r="I405" s="231">
        <v>288.0</v>
      </c>
      <c r="J405" s="220" t="s">
        <v>1430</v>
      </c>
      <c r="K405" s="34"/>
      <c r="L405" s="34"/>
      <c r="M405" s="34"/>
      <c r="N405" s="34"/>
      <c r="O405" s="34"/>
      <c r="P405" s="34"/>
      <c r="Q405" s="34"/>
      <c r="R405" s="217"/>
      <c r="S405" s="217"/>
    </row>
    <row r="406">
      <c r="A406" s="217"/>
      <c r="B406" s="217"/>
      <c r="C406" s="217"/>
      <c r="D406" s="217"/>
      <c r="E406" s="217"/>
      <c r="F406" s="217"/>
      <c r="G406" s="34"/>
      <c r="H406" s="220" t="s">
        <v>772</v>
      </c>
      <c r="I406" s="231">
        <v>151.0</v>
      </c>
      <c r="J406" s="34"/>
      <c r="K406" s="34"/>
      <c r="L406" s="34"/>
      <c r="M406" s="34"/>
      <c r="N406" s="34"/>
      <c r="O406" s="34"/>
      <c r="P406" s="34"/>
      <c r="Q406" s="34"/>
      <c r="R406" s="217"/>
      <c r="S406" s="217"/>
    </row>
    <row r="407">
      <c r="A407" s="217"/>
      <c r="B407" s="217"/>
      <c r="C407" s="217"/>
      <c r="D407" s="217"/>
      <c r="E407" s="217"/>
      <c r="F407" s="217"/>
      <c r="G407" s="34"/>
      <c r="H407" s="220" t="s">
        <v>828</v>
      </c>
      <c r="I407" s="231">
        <v>228.0</v>
      </c>
      <c r="J407" s="34"/>
      <c r="K407" s="34"/>
      <c r="L407" s="34"/>
      <c r="M407" s="34"/>
      <c r="N407" s="34"/>
      <c r="O407" s="34"/>
      <c r="P407" s="34"/>
      <c r="Q407" s="34"/>
      <c r="R407" s="217"/>
      <c r="S407" s="217"/>
    </row>
    <row r="408">
      <c r="A408" s="217"/>
      <c r="B408" s="217"/>
      <c r="C408" s="217"/>
      <c r="D408" s="217"/>
      <c r="E408" s="217"/>
      <c r="F408" s="217"/>
      <c r="G408" s="34"/>
      <c r="H408" s="220" t="s">
        <v>1290</v>
      </c>
      <c r="I408" s="231">
        <v>289.0</v>
      </c>
      <c r="J408" s="34"/>
      <c r="K408" s="34"/>
      <c r="L408" s="34"/>
      <c r="M408" s="34"/>
      <c r="N408" s="34"/>
      <c r="O408" s="34"/>
      <c r="P408" s="34"/>
      <c r="Q408" s="34"/>
      <c r="R408" s="217"/>
      <c r="S408" s="217"/>
    </row>
    <row r="409">
      <c r="A409" s="217"/>
      <c r="B409" s="217"/>
      <c r="C409" s="217"/>
      <c r="D409" s="217"/>
      <c r="E409" s="217"/>
      <c r="F409" s="217"/>
      <c r="G409" s="34"/>
      <c r="H409" s="220" t="s">
        <v>515</v>
      </c>
      <c r="I409" s="231">
        <v>330.0</v>
      </c>
      <c r="J409" s="34"/>
      <c r="K409" s="34"/>
      <c r="L409" s="34"/>
      <c r="M409" s="34"/>
      <c r="N409" s="34"/>
      <c r="O409" s="34"/>
      <c r="P409" s="34"/>
      <c r="Q409" s="34"/>
      <c r="R409" s="217"/>
      <c r="S409" s="217"/>
    </row>
    <row r="410">
      <c r="A410" s="217"/>
      <c r="B410" s="217"/>
      <c r="C410" s="217"/>
      <c r="D410" s="217"/>
      <c r="E410" s="217"/>
      <c r="F410" s="217"/>
      <c r="G410" s="34"/>
      <c r="H410" s="220" t="s">
        <v>1354</v>
      </c>
      <c r="I410" s="231">
        <v>545.0</v>
      </c>
      <c r="J410" s="34"/>
      <c r="K410" s="34"/>
      <c r="L410" s="34"/>
      <c r="M410" s="34"/>
      <c r="N410" s="34"/>
      <c r="O410" s="34"/>
      <c r="P410" s="34"/>
      <c r="Q410" s="34"/>
      <c r="R410" s="217"/>
      <c r="S410" s="217"/>
    </row>
    <row r="411">
      <c r="A411" s="217"/>
      <c r="B411" s="217"/>
      <c r="C411" s="217"/>
      <c r="D411" s="217"/>
      <c r="E411" s="217"/>
      <c r="F411" s="217"/>
      <c r="G411" s="34"/>
      <c r="H411" s="220" t="s">
        <v>1231</v>
      </c>
      <c r="I411" s="231">
        <v>535.0</v>
      </c>
      <c r="J411" s="34"/>
      <c r="K411" s="34"/>
      <c r="L411" s="34"/>
      <c r="M411" s="34"/>
      <c r="N411" s="34"/>
      <c r="O411" s="34"/>
      <c r="P411" s="34"/>
      <c r="Q411" s="34"/>
      <c r="R411" s="217"/>
      <c r="S411" s="217"/>
    </row>
    <row r="412">
      <c r="A412" s="217"/>
      <c r="B412" s="217"/>
      <c r="C412" s="217"/>
      <c r="D412" s="217"/>
      <c r="E412" s="217"/>
      <c r="F412" s="217"/>
      <c r="G412" s="34"/>
      <c r="H412" s="220" t="s">
        <v>1356</v>
      </c>
      <c r="I412" s="231">
        <v>546.0</v>
      </c>
      <c r="J412" s="34"/>
      <c r="K412" s="34"/>
      <c r="L412" s="34"/>
      <c r="M412" s="34"/>
      <c r="N412" s="34"/>
      <c r="O412" s="34"/>
      <c r="P412" s="34"/>
      <c r="Q412" s="34"/>
      <c r="R412" s="217"/>
      <c r="S412" s="217"/>
    </row>
    <row r="413">
      <c r="A413" s="217"/>
      <c r="B413" s="217"/>
      <c r="C413" s="217"/>
      <c r="D413" s="217"/>
      <c r="E413" s="217"/>
      <c r="F413" s="217"/>
      <c r="G413" s="34"/>
      <c r="H413" s="220" t="s">
        <v>1358</v>
      </c>
      <c r="I413" s="231">
        <v>547.0</v>
      </c>
      <c r="J413" s="34"/>
      <c r="K413" s="34"/>
      <c r="L413" s="34"/>
      <c r="M413" s="34"/>
      <c r="N413" s="34"/>
      <c r="O413" s="34"/>
      <c r="P413" s="34"/>
      <c r="Q413" s="34"/>
      <c r="R413" s="217"/>
      <c r="S413" s="217"/>
    </row>
    <row r="414">
      <c r="A414" s="217"/>
      <c r="B414" s="217"/>
      <c r="C414" s="217"/>
      <c r="D414" s="217"/>
      <c r="E414" s="217"/>
      <c r="F414" s="217"/>
      <c r="G414" s="34"/>
      <c r="H414" s="220" t="s">
        <v>1234</v>
      </c>
      <c r="I414" s="231">
        <v>536.0</v>
      </c>
      <c r="J414" s="34"/>
      <c r="K414" s="34"/>
      <c r="L414" s="34"/>
      <c r="M414" s="34"/>
      <c r="N414" s="34"/>
      <c r="O414" s="34"/>
      <c r="P414" s="34"/>
      <c r="Q414" s="34"/>
      <c r="R414" s="217"/>
      <c r="S414" s="217"/>
    </row>
    <row r="415">
      <c r="A415" s="217"/>
      <c r="B415" s="217"/>
      <c r="C415" s="217"/>
      <c r="D415" s="217"/>
      <c r="E415" s="217"/>
      <c r="F415" s="217"/>
      <c r="G415" s="34"/>
      <c r="H415" s="220" t="s">
        <v>1237</v>
      </c>
      <c r="I415" s="231">
        <v>168.0</v>
      </c>
      <c r="J415" s="34"/>
      <c r="K415" s="34"/>
      <c r="L415" s="34"/>
      <c r="M415" s="34"/>
      <c r="N415" s="34"/>
      <c r="O415" s="34"/>
      <c r="P415" s="34"/>
      <c r="Q415" s="34"/>
      <c r="R415" s="217"/>
      <c r="S415" s="217"/>
    </row>
    <row r="416">
      <c r="A416" s="217"/>
      <c r="B416" s="217"/>
      <c r="C416" s="217"/>
      <c r="D416" s="217"/>
      <c r="E416" s="217"/>
      <c r="F416" s="217"/>
      <c r="G416" s="34"/>
      <c r="H416" s="220" t="s">
        <v>1203</v>
      </c>
      <c r="I416" s="231">
        <v>143.0</v>
      </c>
      <c r="J416" s="34"/>
      <c r="K416" s="34"/>
      <c r="L416" s="34"/>
      <c r="M416" s="34"/>
      <c r="N416" s="34"/>
      <c r="O416" s="34"/>
      <c r="P416" s="34"/>
      <c r="Q416" s="34"/>
      <c r="R416" s="217"/>
      <c r="S416" s="217"/>
    </row>
    <row r="417">
      <c r="A417" s="217"/>
      <c r="B417" s="217"/>
      <c r="C417" s="217"/>
      <c r="D417" s="217"/>
      <c r="E417" s="217"/>
      <c r="F417" s="217"/>
      <c r="G417" s="34"/>
      <c r="H417" s="220" t="s">
        <v>1024</v>
      </c>
      <c r="I417" s="231">
        <v>349.0</v>
      </c>
      <c r="J417" s="34"/>
      <c r="K417" s="34"/>
      <c r="L417" s="34"/>
      <c r="M417" s="34"/>
      <c r="N417" s="34"/>
      <c r="O417" s="34"/>
      <c r="P417" s="34"/>
      <c r="Q417" s="34"/>
      <c r="R417" s="217"/>
      <c r="S417" s="217"/>
    </row>
    <row r="418">
      <c r="A418" s="217"/>
      <c r="B418" s="217"/>
      <c r="C418" s="217"/>
      <c r="D418" s="217"/>
      <c r="E418" s="217"/>
      <c r="F418" s="217"/>
      <c r="G418" s="34"/>
      <c r="H418" s="220" t="s">
        <v>1283</v>
      </c>
      <c r="I418" s="231">
        <v>544.0</v>
      </c>
      <c r="J418" s="34"/>
      <c r="K418" s="34"/>
      <c r="L418" s="34"/>
      <c r="M418" s="34"/>
      <c r="N418" s="34"/>
      <c r="O418" s="34"/>
      <c r="P418" s="34"/>
      <c r="Q418" s="34"/>
      <c r="R418" s="217"/>
      <c r="S418" s="217"/>
    </row>
    <row r="419">
      <c r="A419" s="217"/>
      <c r="B419" s="217"/>
      <c r="C419" s="217"/>
      <c r="D419" s="217"/>
      <c r="E419" s="217"/>
      <c r="F419" s="217"/>
      <c r="G419" s="34"/>
      <c r="H419" s="220" t="s">
        <v>1167</v>
      </c>
      <c r="I419" s="231">
        <v>442.0</v>
      </c>
      <c r="J419" s="34"/>
      <c r="K419" s="34"/>
      <c r="L419" s="34"/>
      <c r="M419" s="34"/>
      <c r="N419" s="34"/>
      <c r="O419" s="34"/>
      <c r="P419" s="34"/>
      <c r="Q419" s="34"/>
      <c r="R419" s="217"/>
      <c r="S419" s="217"/>
    </row>
    <row r="420">
      <c r="A420" s="217"/>
      <c r="B420" s="217"/>
      <c r="C420" s="217"/>
      <c r="D420" s="217"/>
      <c r="E420" s="217"/>
      <c r="F420" s="217"/>
      <c r="G420" s="34"/>
      <c r="H420" s="220" t="s">
        <v>522</v>
      </c>
      <c r="I420" s="231">
        <v>53.0</v>
      </c>
      <c r="J420" s="34"/>
      <c r="K420" s="34"/>
      <c r="L420" s="34"/>
      <c r="M420" s="34"/>
      <c r="N420" s="34"/>
      <c r="O420" s="34"/>
      <c r="P420" s="34"/>
      <c r="Q420" s="34"/>
      <c r="R420" s="217"/>
      <c r="S420" s="217"/>
    </row>
    <row r="421">
      <c r="A421" s="217"/>
      <c r="B421" s="217"/>
      <c r="C421" s="217"/>
      <c r="D421" s="217"/>
      <c r="E421" s="217"/>
      <c r="F421" s="217"/>
      <c r="G421" s="34"/>
      <c r="H421" s="220" t="s">
        <v>1292</v>
      </c>
      <c r="I421" s="231">
        <v>290.0</v>
      </c>
      <c r="J421" s="34"/>
      <c r="K421" s="34"/>
      <c r="L421" s="34"/>
      <c r="M421" s="34"/>
      <c r="N421" s="34"/>
      <c r="O421" s="34"/>
      <c r="P421" s="34"/>
      <c r="Q421" s="34"/>
      <c r="R421" s="217"/>
      <c r="S421" s="217"/>
    </row>
    <row r="422">
      <c r="A422" s="217"/>
      <c r="B422" s="217"/>
      <c r="C422" s="217"/>
      <c r="D422" s="217"/>
      <c r="E422" s="217"/>
      <c r="F422" s="217"/>
      <c r="G422" s="34"/>
      <c r="H422" s="220" t="s">
        <v>1294</v>
      </c>
      <c r="I422" s="231">
        <v>291.0</v>
      </c>
      <c r="J422" s="34"/>
      <c r="K422" s="34"/>
      <c r="L422" s="34"/>
      <c r="M422" s="34"/>
      <c r="N422" s="34"/>
      <c r="O422" s="34"/>
      <c r="P422" s="34"/>
      <c r="Q422" s="34"/>
      <c r="R422" s="217"/>
      <c r="S422" s="217"/>
    </row>
    <row r="423">
      <c r="A423" s="217"/>
      <c r="B423" s="217"/>
      <c r="C423" s="217"/>
      <c r="D423" s="217"/>
      <c r="E423" s="217"/>
      <c r="F423" s="217"/>
      <c r="G423" s="34"/>
      <c r="H423" s="220" t="s">
        <v>1170</v>
      </c>
      <c r="I423" s="231">
        <v>129.0</v>
      </c>
      <c r="J423" s="34"/>
      <c r="K423" s="34"/>
      <c r="L423" s="34"/>
      <c r="M423" s="34"/>
      <c r="N423" s="34"/>
      <c r="O423" s="34"/>
      <c r="P423" s="34"/>
      <c r="Q423" s="34"/>
      <c r="R423" s="217"/>
      <c r="S423" s="217"/>
    </row>
    <row r="424">
      <c r="A424" s="217"/>
      <c r="B424" s="217"/>
      <c r="C424" s="217"/>
      <c r="D424" s="217"/>
      <c r="E424" s="217"/>
      <c r="F424" s="217"/>
      <c r="G424" s="34"/>
      <c r="H424" s="220" t="s">
        <v>1241</v>
      </c>
      <c r="I424" s="231">
        <v>169.0</v>
      </c>
      <c r="J424" s="34"/>
      <c r="K424" s="34"/>
      <c r="L424" s="34"/>
      <c r="M424" s="34"/>
      <c r="N424" s="34"/>
      <c r="O424" s="34"/>
      <c r="P424" s="34"/>
      <c r="Q424" s="34"/>
      <c r="R424" s="217"/>
      <c r="S424" s="217"/>
    </row>
    <row r="425">
      <c r="A425" s="217"/>
      <c r="B425" s="217"/>
      <c r="C425" s="217"/>
      <c r="D425" s="217"/>
      <c r="E425" s="217"/>
      <c r="F425" s="217"/>
      <c r="G425" s="34"/>
      <c r="H425" s="220" t="s">
        <v>527</v>
      </c>
      <c r="I425" s="231">
        <v>15.0</v>
      </c>
      <c r="J425" s="34"/>
      <c r="K425" s="34"/>
      <c r="L425" s="34"/>
      <c r="M425" s="34"/>
      <c r="N425" s="34"/>
      <c r="O425" s="34"/>
      <c r="P425" s="34"/>
      <c r="Q425" s="34"/>
      <c r="R425" s="217"/>
      <c r="S425" s="217"/>
    </row>
    <row r="426">
      <c r="A426" s="217"/>
      <c r="B426" s="217"/>
      <c r="C426" s="217"/>
      <c r="D426" s="217"/>
      <c r="E426" s="217"/>
      <c r="F426" s="217"/>
      <c r="G426" s="34"/>
      <c r="H426" s="220" t="s">
        <v>737</v>
      </c>
      <c r="I426" s="231">
        <v>331.0</v>
      </c>
      <c r="J426" s="34"/>
      <c r="K426" s="34"/>
      <c r="L426" s="34"/>
      <c r="M426" s="34"/>
      <c r="N426" s="34"/>
      <c r="O426" s="34"/>
      <c r="P426" s="34"/>
      <c r="Q426" s="34"/>
      <c r="R426" s="217"/>
      <c r="S426" s="217"/>
    </row>
    <row r="427">
      <c r="A427" s="217"/>
      <c r="B427" s="217"/>
      <c r="C427" s="217"/>
      <c r="D427" s="217"/>
      <c r="E427" s="217"/>
      <c r="F427" s="217"/>
      <c r="G427" s="34"/>
      <c r="H427" s="220" t="s">
        <v>833</v>
      </c>
      <c r="I427" s="231">
        <v>539.0</v>
      </c>
      <c r="J427" s="34"/>
      <c r="K427" s="34"/>
      <c r="L427" s="34"/>
      <c r="M427" s="34"/>
      <c r="N427" s="34"/>
      <c r="O427" s="34"/>
      <c r="P427" s="34"/>
      <c r="Q427" s="34"/>
      <c r="R427" s="217"/>
      <c r="S427" s="217"/>
    </row>
    <row r="428">
      <c r="A428" s="217"/>
      <c r="B428" s="217"/>
      <c r="C428" s="217"/>
      <c r="D428" s="217"/>
      <c r="E428" s="217"/>
      <c r="F428" s="217"/>
      <c r="G428" s="34"/>
      <c r="H428" s="220" t="s">
        <v>1349</v>
      </c>
      <c r="I428" s="231">
        <v>425.0</v>
      </c>
      <c r="J428" s="34"/>
      <c r="K428" s="34"/>
      <c r="L428" s="34"/>
      <c r="M428" s="34"/>
      <c r="N428" s="34"/>
      <c r="O428" s="34"/>
      <c r="P428" s="34"/>
      <c r="Q428" s="34"/>
      <c r="R428" s="217"/>
      <c r="S428" s="217"/>
    </row>
    <row r="429">
      <c r="A429" s="217"/>
      <c r="B429" s="217"/>
      <c r="C429" s="217"/>
      <c r="D429" s="217"/>
      <c r="E429" s="217"/>
      <c r="F429" s="217"/>
      <c r="G429" s="34"/>
      <c r="H429" s="220" t="s">
        <v>741</v>
      </c>
      <c r="I429" s="231">
        <v>332.0</v>
      </c>
      <c r="J429" s="34"/>
      <c r="K429" s="34"/>
      <c r="L429" s="34"/>
      <c r="M429" s="34"/>
      <c r="N429" s="34"/>
      <c r="O429" s="34"/>
      <c r="P429" s="34"/>
      <c r="Q429" s="34"/>
      <c r="R429" s="217"/>
      <c r="S429" s="217"/>
    </row>
    <row r="430">
      <c r="A430" s="217"/>
      <c r="B430" s="217"/>
      <c r="C430" s="217"/>
      <c r="D430" s="217"/>
      <c r="E430" s="217"/>
      <c r="F430" s="217"/>
      <c r="G430" s="34"/>
      <c r="H430" s="220" t="s">
        <v>1431</v>
      </c>
      <c r="I430" s="231">
        <v>550.0</v>
      </c>
      <c r="J430" s="34"/>
      <c r="K430" s="34"/>
      <c r="L430" s="34"/>
      <c r="M430" s="34"/>
      <c r="N430" s="34"/>
      <c r="O430" s="34"/>
      <c r="P430" s="34"/>
      <c r="Q430" s="34"/>
      <c r="R430" s="217"/>
      <c r="S430" s="217"/>
    </row>
  </sheetData>
  <drawing r:id="rId1"/>
</worksheet>
</file>